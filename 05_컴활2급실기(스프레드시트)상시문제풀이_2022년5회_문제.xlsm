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ssi\Documents\00_유튜브 강의\04_컴활2급실기\01_기출문제 시리즈\23_2022_상시 5회\"/>
    </mc:Choice>
  </mc:AlternateContent>
  <bookViews>
    <workbookView xWindow="-15" yWindow="-15" windowWidth="14415" windowHeight="5468" tabRatio="844" activeTab="2"/>
  </bookViews>
  <sheets>
    <sheet name="기본작업-1" sheetId="14" r:id="rId1"/>
    <sheet name="기본작업-2" sheetId="13" r:id="rId2"/>
    <sheet name="기본작업-3" sheetId="16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배점">'기본작업-2'!#REF!</definedName>
  </definedNames>
  <calcPr calcId="162913"/>
</workbook>
</file>

<file path=xl/calcChain.xml><?xml version="1.0" encoding="utf-8"?>
<calcChain xmlns="http://schemas.openxmlformats.org/spreadsheetml/2006/main">
  <c r="G9" i="6" l="1"/>
  <c r="G10" i="6"/>
  <c r="G11" i="6"/>
  <c r="E9" i="6"/>
  <c r="F9" i="6"/>
  <c r="E10" i="6"/>
  <c r="F10" i="6"/>
  <c r="E11" i="6"/>
  <c r="F11" i="6"/>
  <c r="D10" i="6"/>
  <c r="D11" i="6"/>
  <c r="D9" i="6"/>
  <c r="G4" i="6"/>
  <c r="G5" i="6"/>
  <c r="G6" i="6"/>
  <c r="G7" i="6"/>
  <c r="G8" i="6"/>
  <c r="G3" i="6"/>
  <c r="B18" i="15"/>
  <c r="B11" i="15"/>
  <c r="C13" i="15"/>
  <c r="C14" i="15"/>
  <c r="C15" i="15"/>
  <c r="C16" i="15"/>
  <c r="C17" i="15"/>
  <c r="C12" i="15"/>
  <c r="C6" i="15"/>
  <c r="C7" i="15"/>
  <c r="C8" i="15"/>
  <c r="C9" i="15"/>
  <c r="C10" i="15"/>
  <c r="C5" i="15"/>
  <c r="C18" i="15" l="1"/>
  <c r="C11" i="15"/>
</calcChain>
</file>

<file path=xl/sharedStrings.xml><?xml version="1.0" encoding="utf-8"?>
<sst xmlns="http://schemas.openxmlformats.org/spreadsheetml/2006/main" count="270" uniqueCount="195">
  <si>
    <t>국어</t>
    <phoneticPr fontId="2" type="noConversion"/>
  </si>
  <si>
    <t>영어</t>
    <phoneticPr fontId="2" type="noConversion"/>
  </si>
  <si>
    <t>수학</t>
    <phoneticPr fontId="2" type="noConversion"/>
  </si>
  <si>
    <t>이름</t>
    <phoneticPr fontId="2" type="noConversion"/>
  </si>
  <si>
    <t>학번</t>
    <phoneticPr fontId="2" type="noConversion"/>
  </si>
  <si>
    <t>이순신</t>
    <phoneticPr fontId="2" type="noConversion"/>
  </si>
  <si>
    <t>강감찬</t>
    <phoneticPr fontId="2" type="noConversion"/>
  </si>
  <si>
    <t>김시민</t>
    <phoneticPr fontId="2" type="noConversion"/>
  </si>
  <si>
    <t>[표1]</t>
    <phoneticPr fontId="2" type="noConversion"/>
  </si>
  <si>
    <t>1학기 중간고사</t>
    <phoneticPr fontId="2" type="noConversion"/>
  </si>
  <si>
    <t>1학기
중간고사</t>
    <phoneticPr fontId="2" type="noConversion"/>
  </si>
  <si>
    <t>1학기
기말고사</t>
    <phoneticPr fontId="2" type="noConversion"/>
  </si>
  <si>
    <t>구분</t>
    <phoneticPr fontId="2" type="noConversion"/>
  </si>
  <si>
    <t>세계 여권 순위</t>
    <phoneticPr fontId="2" type="noConversion"/>
  </si>
  <si>
    <t>29세이하</t>
  </si>
  <si>
    <t>30～39세</t>
  </si>
  <si>
    <t>40～49세</t>
  </si>
  <si>
    <t>50～59세</t>
  </si>
  <si>
    <t>60～69세</t>
  </si>
  <si>
    <t>70세이상</t>
  </si>
  <si>
    <t>구성비</t>
  </si>
  <si>
    <t>(단위: 천가구, %, %p)</t>
  </si>
  <si>
    <t>계</t>
  </si>
  <si>
    <t>입금액</t>
  </si>
  <si>
    <t>출금액</t>
  </si>
  <si>
    <t>잔액</t>
  </si>
  <si>
    <t>거래내역</t>
  </si>
  <si>
    <t>프렌즈허옥경</t>
  </si>
  <si>
    <t>콕비</t>
  </si>
  <si>
    <t>손정원</t>
  </si>
  <si>
    <t>오두환</t>
  </si>
  <si>
    <t>(주) 엠에스리테일</t>
  </si>
  <si>
    <t>김명환</t>
  </si>
  <si>
    <t>박희자</t>
  </si>
  <si>
    <t>SMS수수료</t>
  </si>
  <si>
    <t>여정훈</t>
  </si>
  <si>
    <t>김영순</t>
  </si>
  <si>
    <t>홍순갑</t>
  </si>
  <si>
    <t>주식회사 문구나무</t>
  </si>
  <si>
    <t>임원회의 카페리오</t>
  </si>
  <si>
    <t>조상기</t>
  </si>
  <si>
    <t>춘천대형약국</t>
  </si>
  <si>
    <t>조창범</t>
  </si>
  <si>
    <t>김준석</t>
  </si>
  <si>
    <t>호반초등학교</t>
  </si>
  <si>
    <t>석유난로노즐교체</t>
  </si>
  <si>
    <t>춘천배드민턴연합회성</t>
  </si>
  <si>
    <t>김진관</t>
  </si>
  <si>
    <t>이름</t>
    <phoneticPr fontId="2" type="noConversion"/>
  </si>
  <si>
    <t>성별</t>
    <phoneticPr fontId="2" type="noConversion"/>
  </si>
  <si>
    <t>엑셀</t>
    <phoneticPr fontId="2" type="noConversion"/>
  </si>
  <si>
    <t>정재미</t>
    <phoneticPr fontId="2" type="noConversion"/>
  </si>
  <si>
    <t>박재석</t>
    <phoneticPr fontId="2" type="noConversion"/>
  </si>
  <si>
    <t>김근영</t>
    <phoneticPr fontId="2" type="noConversion"/>
  </si>
  <si>
    <t>박미숙</t>
    <phoneticPr fontId="2" type="noConversion"/>
  </si>
  <si>
    <t>이미희</t>
    <phoneticPr fontId="2" type="noConversion"/>
  </si>
  <si>
    <t>곽복규</t>
    <phoneticPr fontId="2" type="noConversion"/>
  </si>
  <si>
    <t>정일환</t>
    <phoneticPr fontId="2" type="noConversion"/>
  </si>
  <si>
    <t>이봉숙</t>
    <phoneticPr fontId="2" type="noConversion"/>
  </si>
  <si>
    <t>여자</t>
    <phoneticPr fontId="2" type="noConversion"/>
  </si>
  <si>
    <t>여자</t>
    <phoneticPr fontId="2" type="noConversion"/>
  </si>
  <si>
    <t>남자</t>
    <phoneticPr fontId="2" type="noConversion"/>
  </si>
  <si>
    <t>남자</t>
    <phoneticPr fontId="2" type="noConversion"/>
  </si>
  <si>
    <t>기풍반</t>
    <phoneticPr fontId="2" type="noConversion"/>
  </si>
  <si>
    <t>상공반</t>
    <phoneticPr fontId="2" type="noConversion"/>
  </si>
  <si>
    <t>춘천반</t>
    <phoneticPr fontId="2" type="noConversion"/>
  </si>
  <si>
    <t>춘천반</t>
    <phoneticPr fontId="2" type="noConversion"/>
  </si>
  <si>
    <t>김익래</t>
    <phoneticPr fontId="2" type="noConversion"/>
  </si>
  <si>
    <t>남자</t>
    <phoneticPr fontId="2" type="noConversion"/>
  </si>
  <si>
    <t>기풍반</t>
    <phoneticPr fontId="2" type="noConversion"/>
  </si>
  <si>
    <t>상공반</t>
    <phoneticPr fontId="2" type="noConversion"/>
  </si>
  <si>
    <t>[표1]</t>
    <phoneticPr fontId="2" type="noConversion"/>
  </si>
  <si>
    <t>[반평균]</t>
    <phoneticPr fontId="2" type="noConversion"/>
  </si>
  <si>
    <t>[표2]</t>
    <phoneticPr fontId="2" type="noConversion"/>
  </si>
  <si>
    <t>이름</t>
    <phoneticPr fontId="2" type="noConversion"/>
  </si>
  <si>
    <t>성별</t>
    <phoneticPr fontId="2" type="noConversion"/>
  </si>
  <si>
    <t>키</t>
    <phoneticPr fontId="2" type="noConversion"/>
  </si>
  <si>
    <t>몸무게</t>
    <phoneticPr fontId="2" type="noConversion"/>
  </si>
  <si>
    <t>비만도</t>
    <phoneticPr fontId="2" type="noConversion"/>
  </si>
  <si>
    <t>조병철</t>
    <phoneticPr fontId="2" type="noConversion"/>
  </si>
  <si>
    <t>김상덕</t>
    <phoneticPr fontId="2" type="noConversion"/>
  </si>
  <si>
    <t>공은주</t>
    <phoneticPr fontId="2" type="noConversion"/>
  </si>
  <si>
    <t>곽경미</t>
    <phoneticPr fontId="2" type="noConversion"/>
  </si>
  <si>
    <t>홍재근</t>
    <phoneticPr fontId="2" type="noConversion"/>
  </si>
  <si>
    <t>홍정남</t>
    <phoneticPr fontId="2" type="noConversion"/>
  </si>
  <si>
    <t>이호춘</t>
    <phoneticPr fontId="2" type="noConversion"/>
  </si>
  <si>
    <t>전희자</t>
    <phoneticPr fontId="2" type="noConversion"/>
  </si>
  <si>
    <t>이성룡</t>
    <phoneticPr fontId="2" type="noConversion"/>
  </si>
  <si>
    <t>남자</t>
    <phoneticPr fontId="2" type="noConversion"/>
  </si>
  <si>
    <t>남자</t>
    <phoneticPr fontId="2" type="noConversion"/>
  </si>
  <si>
    <t>여자</t>
    <phoneticPr fontId="2" type="noConversion"/>
  </si>
  <si>
    <t>여자</t>
    <phoneticPr fontId="2" type="noConversion"/>
  </si>
  <si>
    <t>여자</t>
    <phoneticPr fontId="2" type="noConversion"/>
  </si>
  <si>
    <t>[표3]</t>
    <phoneticPr fontId="2" type="noConversion"/>
  </si>
  <si>
    <t>기록</t>
    <phoneticPr fontId="2" type="noConversion"/>
  </si>
  <si>
    <t>성명</t>
  </si>
  <si>
    <t>생년월일</t>
  </si>
  <si>
    <t>이헌강</t>
  </si>
  <si>
    <t>1990.07.26</t>
  </si>
  <si>
    <t>정진혁</t>
  </si>
  <si>
    <t>1990.06.01</t>
  </si>
  <si>
    <t>신현수</t>
  </si>
  <si>
    <t>1991.08.17</t>
  </si>
  <si>
    <t>심종섭</t>
  </si>
  <si>
    <t>1991.02.21</t>
  </si>
  <si>
    <t>이강철</t>
  </si>
  <si>
    <t>1995.10.21</t>
  </si>
  <si>
    <t>소유준</t>
  </si>
  <si>
    <t>1997.06.03</t>
  </si>
  <si>
    <t>이경호</t>
  </si>
  <si>
    <t>1998.06.07</t>
  </si>
  <si>
    <t>박종학</t>
  </si>
  <si>
    <t>2001.01.05</t>
  </si>
  <si>
    <t>국대후보</t>
    <phoneticPr fontId="2" type="noConversion"/>
  </si>
  <si>
    <t>주요경력</t>
    <phoneticPr fontId="2" type="noConversion"/>
  </si>
  <si>
    <t>동아마라톤</t>
    <phoneticPr fontId="2" type="noConversion"/>
  </si>
  <si>
    <t>실대경기</t>
    <phoneticPr fontId="2" type="noConversion"/>
  </si>
  <si>
    <t>중앙서울</t>
    <phoneticPr fontId="2" type="noConversion"/>
  </si>
  <si>
    <t>동아일보</t>
    <phoneticPr fontId="2" type="noConversion"/>
  </si>
  <si>
    <t>군산새만금</t>
    <phoneticPr fontId="2" type="noConversion"/>
  </si>
  <si>
    <t>전국체전</t>
    <phoneticPr fontId="2" type="noConversion"/>
  </si>
  <si>
    <t>제일 빠른 기록</t>
    <phoneticPr fontId="2" type="noConversion"/>
  </si>
  <si>
    <t>[표4]</t>
    <phoneticPr fontId="2" type="noConversion"/>
  </si>
  <si>
    <t>1회</t>
    <phoneticPr fontId="2" type="noConversion"/>
  </si>
  <si>
    <t>2회</t>
    <phoneticPr fontId="2" type="noConversion"/>
  </si>
  <si>
    <t>3회</t>
    <phoneticPr fontId="2" type="noConversion"/>
  </si>
  <si>
    <t>4회</t>
    <phoneticPr fontId="2" type="noConversion"/>
  </si>
  <si>
    <t>5회</t>
    <phoneticPr fontId="2" type="noConversion"/>
  </si>
  <si>
    <t>면접점수</t>
    <phoneticPr fontId="2" type="noConversion"/>
  </si>
  <si>
    <t>총점</t>
    <phoneticPr fontId="2" type="noConversion"/>
  </si>
  <si>
    <t>참가번호</t>
    <phoneticPr fontId="2" type="noConversion"/>
  </si>
  <si>
    <t>KP-001</t>
    <phoneticPr fontId="2" type="noConversion"/>
  </si>
  <si>
    <t>KP-002</t>
  </si>
  <si>
    <t>KP-003</t>
  </si>
  <si>
    <t>KP-004</t>
  </si>
  <si>
    <t>KP-005</t>
  </si>
  <si>
    <t>KP-006</t>
  </si>
  <si>
    <t>KP-007</t>
  </si>
  <si>
    <t>KP-008</t>
  </si>
  <si>
    <t>KP-009</t>
  </si>
  <si>
    <t>봉사시간</t>
    <phoneticPr fontId="2" type="noConversion"/>
  </si>
  <si>
    <t>견학</t>
    <phoneticPr fontId="2" type="noConversion"/>
  </si>
  <si>
    <t>소양댐</t>
    <phoneticPr fontId="2" type="noConversion"/>
  </si>
  <si>
    <t>소양댐</t>
    <phoneticPr fontId="2" type="noConversion"/>
  </si>
  <si>
    <t>의암댐</t>
    <phoneticPr fontId="2" type="noConversion"/>
  </si>
  <si>
    <t>의암댐</t>
    <phoneticPr fontId="2" type="noConversion"/>
  </si>
  <si>
    <t>가평댐</t>
    <phoneticPr fontId="2" type="noConversion"/>
  </si>
  <si>
    <t>가평댐</t>
    <phoneticPr fontId="2" type="noConversion"/>
  </si>
  <si>
    <t>○</t>
    <phoneticPr fontId="2" type="noConversion"/>
  </si>
  <si>
    <t>○</t>
    <phoneticPr fontId="2" type="noConversion"/>
  </si>
  <si>
    <t>[표5]</t>
    <phoneticPr fontId="2" type="noConversion"/>
  </si>
  <si>
    <t>과일</t>
    <phoneticPr fontId="2" type="noConversion"/>
  </si>
  <si>
    <t>판매일</t>
    <phoneticPr fontId="2" type="noConversion"/>
  </si>
  <si>
    <t>바나나</t>
    <phoneticPr fontId="2" type="noConversion"/>
  </si>
  <si>
    <t>망고</t>
    <phoneticPr fontId="2" type="noConversion"/>
  </si>
  <si>
    <t>두리안</t>
    <phoneticPr fontId="2" type="noConversion"/>
  </si>
  <si>
    <t>두리안</t>
    <phoneticPr fontId="2" type="noConversion"/>
  </si>
  <si>
    <t>포도</t>
    <phoneticPr fontId="2" type="noConversion"/>
  </si>
  <si>
    <t>매출액</t>
    <phoneticPr fontId="2" type="noConversion"/>
  </si>
  <si>
    <t>매출이익액</t>
    <phoneticPr fontId="2" type="noConversion"/>
  </si>
  <si>
    <t>상반기 합계</t>
    <phoneticPr fontId="2" type="noConversion"/>
  </si>
  <si>
    <t>하반기 합계</t>
    <phoneticPr fontId="2" type="noConversion"/>
  </si>
  <si>
    <t>월</t>
    <phoneticPr fontId="2" type="noConversion"/>
  </si>
  <si>
    <t>월별 너튜브 수입</t>
    <phoneticPr fontId="2" type="noConversion"/>
  </si>
  <si>
    <t>평균</t>
    <phoneticPr fontId="2" type="noConversion"/>
  </si>
  <si>
    <t>전체평균</t>
    <phoneticPr fontId="2" type="noConversion"/>
  </si>
  <si>
    <t>상반기 너튜브 수입</t>
    <phoneticPr fontId="2" type="noConversion"/>
  </si>
  <si>
    <t>받는금액($)</t>
    <phoneticPr fontId="2" type="noConversion"/>
  </si>
  <si>
    <t>너튜브 수입(\)</t>
    <phoneticPr fontId="2" type="noConversion"/>
  </si>
  <si>
    <t>너튜브 수입(\)</t>
    <phoneticPr fontId="2" type="noConversion"/>
  </si>
  <si>
    <t>받는금액($)</t>
    <phoneticPr fontId="2" type="noConversion"/>
  </si>
  <si>
    <t>상반기 기풍쌤 너튜브 분석</t>
    <phoneticPr fontId="2" type="noConversion"/>
  </si>
  <si>
    <t>구독자</t>
    <phoneticPr fontId="2" type="noConversion"/>
  </si>
  <si>
    <t>추정수익($)</t>
    <phoneticPr fontId="2" type="noConversion"/>
  </si>
  <si>
    <t>조회수(만)</t>
    <phoneticPr fontId="2" type="noConversion"/>
  </si>
  <si>
    <t>반</t>
    <phoneticPr fontId="2" type="noConversion"/>
  </si>
  <si>
    <t>반</t>
    <phoneticPr fontId="2" type="noConversion"/>
  </si>
  <si>
    <t>평균</t>
    <phoneticPr fontId="2" type="noConversion"/>
  </si>
  <si>
    <t>환율</t>
    <phoneticPr fontId="2" type="noConversion"/>
  </si>
  <si>
    <t>연령별 1인 가구(2015, 2020)</t>
  </si>
  <si>
    <t>증감</t>
  </si>
  <si>
    <t>증감률</t>
  </si>
  <si>
    <t>전체</t>
  </si>
  <si>
    <t>1인</t>
  </si>
  <si>
    <t>바나나를 제외한 과일 중 매출액이 평균이상인 매출이익액 합계</t>
    <phoneticPr fontId="2" type="noConversion"/>
  </si>
  <si>
    <t>김현숙</t>
    <phoneticPr fontId="2" type="noConversion"/>
  </si>
  <si>
    <t>이금옥</t>
    <phoneticPr fontId="2" type="noConversion"/>
  </si>
  <si>
    <t>김동일</t>
    <phoneticPr fontId="2" type="noConversion"/>
  </si>
  <si>
    <t>김현수</t>
    <phoneticPr fontId="2" type="noConversion"/>
  </si>
  <si>
    <t>김옥경</t>
    <phoneticPr fontId="2" type="noConversion"/>
  </si>
  <si>
    <t>황인걸</t>
    <phoneticPr fontId="2" type="noConversion"/>
  </si>
  <si>
    <t>구임선</t>
    <phoneticPr fontId="2" type="noConversion"/>
  </si>
  <si>
    <t>&lt;조건&gt;</t>
    <phoneticPr fontId="2" type="noConversion"/>
  </si>
  <si>
    <t>날짜</t>
    <phoneticPr fontId="7" type="noConversion"/>
  </si>
  <si>
    <t>통장 거래 내역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</si>
</sst>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176" formatCode="0_ "/>
    <numFmt numFmtId="177" formatCode="0_);[Red]\(0\)"/>
    <numFmt numFmtId="178" formatCode="00&quot;월&quot;"/>
    <numFmt numFmtId="179" formatCode="_-\$* #,##0.00_ ;_-\$* \-#,##0.00\ ;_-\$* &quot;-&quot;??_ ;_-@_ "/>
    <numFmt numFmtId="180" formatCode="0.00_ "/>
    <numFmt numFmtId="181" formatCode="General&quot;월&quot;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rgb="FF9C000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rgb="FF3F3F3F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ck">
        <color indexed="64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auto="1"/>
      </right>
      <top style="double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1" fillId="9" borderId="9" applyNumberFormat="0" applyAlignment="0" applyProtection="0">
      <alignment vertical="center"/>
    </xf>
  </cellStyleXfs>
  <cellXfs count="99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>
      <alignment vertical="center"/>
    </xf>
    <xf numFmtId="176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41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7" borderId="0" xfId="0" applyNumberFormat="1" applyFont="1" applyFill="1" applyBorder="1" applyAlignment="1">
      <alignment horizontal="center" vertical="center" wrapText="1"/>
    </xf>
    <xf numFmtId="14" fontId="9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14" fontId="9" fillId="0" borderId="0" xfId="0" applyNumberFormat="1" applyFont="1" applyFill="1" applyBorder="1" applyAlignment="1">
      <alignment horizontal="center" vertical="center"/>
    </xf>
    <xf numFmtId="3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2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>
      <alignment vertical="center"/>
    </xf>
    <xf numFmtId="41" fontId="0" fillId="0" borderId="1" xfId="0" applyNumberFormat="1" applyBorder="1">
      <alignment vertical="center"/>
    </xf>
    <xf numFmtId="178" fontId="0" fillId="0" borderId="2" xfId="0" applyNumberFormat="1" applyBorder="1" applyAlignment="1">
      <alignment horizontal="center" vertical="center"/>
    </xf>
    <xf numFmtId="42" fontId="0" fillId="0" borderId="1" xfId="1" applyNumberFormat="1" applyFont="1" applyBorder="1">
      <alignment vertical="center"/>
    </xf>
    <xf numFmtId="179" fontId="0" fillId="0" borderId="3" xfId="0" applyNumberFormat="1" applyBorder="1">
      <alignment vertical="center"/>
    </xf>
    <xf numFmtId="42" fontId="6" fillId="5" borderId="11" xfId="6" applyNumberFormat="1" applyBorder="1">
      <alignment vertical="center"/>
    </xf>
    <xf numFmtId="178" fontId="0" fillId="0" borderId="12" xfId="0" applyNumberFormat="1" applyBorder="1" applyAlignment="1">
      <alignment horizontal="center" vertical="center"/>
    </xf>
    <xf numFmtId="42" fontId="0" fillId="0" borderId="7" xfId="1" applyNumberFormat="1" applyFont="1" applyBorder="1">
      <alignment vertical="center"/>
    </xf>
    <xf numFmtId="179" fontId="0" fillId="0" borderId="13" xfId="0" applyNumberFormat="1" applyBorder="1">
      <alignment vertical="center"/>
    </xf>
    <xf numFmtId="178" fontId="0" fillId="0" borderId="14" xfId="0" applyNumberFormat="1" applyBorder="1" applyAlignment="1">
      <alignment horizontal="center" vertical="center"/>
    </xf>
    <xf numFmtId="42" fontId="0" fillId="0" borderId="8" xfId="1" applyNumberFormat="1" applyFont="1" applyBorder="1">
      <alignment vertical="center"/>
    </xf>
    <xf numFmtId="179" fontId="0" fillId="0" borderId="15" xfId="0" applyNumberFormat="1" applyBorder="1">
      <alignment vertical="center"/>
    </xf>
    <xf numFmtId="178" fontId="5" fillId="3" borderId="16" xfId="5" applyNumberFormat="1" applyBorder="1" applyAlignment="1">
      <alignment horizontal="center" vertical="center"/>
    </xf>
    <xf numFmtId="42" fontId="5" fillId="3" borderId="17" xfId="5" applyNumberFormat="1" applyBorder="1">
      <alignment vertical="center"/>
    </xf>
    <xf numFmtId="179" fontId="5" fillId="3" borderId="18" xfId="5" applyNumberFormat="1" applyBorder="1">
      <alignment vertical="center"/>
    </xf>
    <xf numFmtId="0" fontId="5" fillId="3" borderId="19" xfId="5" applyBorder="1" applyAlignment="1">
      <alignment horizontal="center" vertical="center"/>
    </xf>
    <xf numFmtId="42" fontId="5" fillId="3" borderId="20" xfId="5" applyNumberFormat="1" applyBorder="1">
      <alignment vertical="center"/>
    </xf>
    <xf numFmtId="179" fontId="5" fillId="3" borderId="21" xfId="5" applyNumberFormat="1" applyBorder="1">
      <alignment vertical="center"/>
    </xf>
    <xf numFmtId="0" fontId="10" fillId="8" borderId="22" xfId="7" applyBorder="1" applyAlignment="1">
      <alignment horizontal="center" vertical="center"/>
    </xf>
    <xf numFmtId="0" fontId="10" fillId="8" borderId="23" xfId="7" applyBorder="1">
      <alignment vertical="center"/>
    </xf>
    <xf numFmtId="0" fontId="10" fillId="8" borderId="24" xfId="7" applyBorder="1" applyAlignment="1">
      <alignment horizontal="center" vertical="center"/>
    </xf>
    <xf numFmtId="0" fontId="6" fillId="5" borderId="10" xfId="6" applyBorder="1" applyAlignment="1">
      <alignment horizontal="center" vertical="center"/>
    </xf>
    <xf numFmtId="180" fontId="0" fillId="0" borderId="2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80" fontId="0" fillId="0" borderId="32" xfId="0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80" fontId="0" fillId="0" borderId="36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80" fontId="0" fillId="0" borderId="37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80" fontId="0" fillId="0" borderId="27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>
      <alignment vertical="center"/>
    </xf>
    <xf numFmtId="0" fontId="0" fillId="0" borderId="25" xfId="0" applyBorder="1">
      <alignment vertical="center"/>
    </xf>
    <xf numFmtId="44" fontId="0" fillId="0" borderId="1" xfId="0" applyNumberFormat="1" applyBorder="1">
      <alignment vertical="center"/>
    </xf>
    <xf numFmtId="181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3" fontId="9" fillId="0" borderId="0" xfId="0" applyNumberFormat="1" applyFont="1" applyFill="1" applyBorder="1" applyAlignment="1">
      <alignment horizontal="center" wrapText="1"/>
    </xf>
    <xf numFmtId="177" fontId="0" fillId="0" borderId="0" xfId="0" applyNumberForma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9" fillId="0" borderId="0" xfId="0" applyFont="1" applyFill="1" applyBorder="1" applyAlignment="1">
      <alignment horizontal="center" vertic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177" fontId="9" fillId="0" borderId="0" xfId="0" applyNumberFormat="1" applyFont="1" applyFill="1" applyBorder="1" applyAlignment="1">
      <alignment horizontal="center" vertical="center" wrapText="1"/>
    </xf>
    <xf numFmtId="3" fontId="9" fillId="0" borderId="0" xfId="0" applyNumberFormat="1" applyFont="1" applyFill="1" applyBorder="1" applyAlignment="1">
      <alignment horizontal="right" vertical="center" wrapText="1"/>
    </xf>
    <xf numFmtId="0" fontId="0" fillId="0" borderId="1" xfId="0" applyBorder="1" applyAlignment="1">
      <alignment horizontal="center" vertical="center"/>
    </xf>
    <xf numFmtId="0" fontId="13" fillId="0" borderId="9" xfId="8" applyFont="1" applyFill="1" applyAlignment="1">
      <alignment horizontal="center" vertical="center"/>
    </xf>
    <xf numFmtId="0" fontId="13" fillId="0" borderId="9" xfId="8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4" borderId="29" xfId="0" applyFill="1" applyBorder="1" applyAlignment="1">
      <alignment horizontal="center" vertical="center" wrapText="1"/>
    </xf>
    <xf numFmtId="0" fontId="0" fillId="4" borderId="33" xfId="0" applyFill="1" applyBorder="1" applyAlignment="1">
      <alignment horizontal="center" vertical="center" wrapText="1"/>
    </xf>
    <xf numFmtId="0" fontId="0" fillId="4" borderId="30" xfId="0" applyFill="1" applyBorder="1" applyAlignment="1">
      <alignment horizontal="center" vertical="center" wrapText="1"/>
    </xf>
    <xf numFmtId="0" fontId="10" fillId="8" borderId="33" xfId="7" applyBorder="1" applyAlignment="1">
      <alignment horizontal="center" vertical="center" wrapText="1"/>
    </xf>
    <xf numFmtId="0" fontId="10" fillId="8" borderId="29" xfId="7" applyBorder="1" applyAlignment="1">
      <alignment horizontal="center" vertical="center" wrapText="1"/>
    </xf>
    <xf numFmtId="0" fontId="10" fillId="8" borderId="30" xfId="7" applyBorder="1" applyAlignment="1">
      <alignment horizontal="center" vertical="center" wrapText="1"/>
    </xf>
  </cellXfs>
  <cellStyles count="9">
    <cellStyle name="나쁨" xfId="7" builtinId="27"/>
    <cellStyle name="보통" xfId="6" builtinId="28"/>
    <cellStyle name="쉼표 [0]" xfId="1" builtinId="6"/>
    <cellStyle name="쉼표 [0] 2" xfId="3"/>
    <cellStyle name="좋음" xfId="5" builtinId="26"/>
    <cellStyle name="출력" xfId="8" builtinId="21"/>
    <cellStyle name="통화 [0] 2" xfId="4"/>
    <cellStyle name="표준" xfId="0" builtinId="0"/>
    <cellStyle name="표준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조회수(만)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차트작업!$A$4:$A$9</c:f>
              <c:numCache>
                <c:formatCode>General"월"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차트작업!$B$4:$B$9</c:f>
              <c:numCache>
                <c:formatCode>General</c:formatCode>
                <c:ptCount val="6"/>
                <c:pt idx="0">
                  <c:v>65.3</c:v>
                </c:pt>
                <c:pt idx="1">
                  <c:v>68.7</c:v>
                </c:pt>
                <c:pt idx="2">
                  <c:v>59.4</c:v>
                </c:pt>
                <c:pt idx="3">
                  <c:v>48.1</c:v>
                </c:pt>
                <c:pt idx="4">
                  <c:v>50.3</c:v>
                </c:pt>
                <c:pt idx="5">
                  <c:v>66.5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1A-4A76-942D-23C74D549255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구독자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차트작업!$A$4:$A$9</c:f>
              <c:numCache>
                <c:formatCode>General"월"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차트작업!$C$4:$C$9</c:f>
              <c:numCache>
                <c:formatCode>_(* #,##0_);_(* \(#,##0\);_(* "-"_);_(@_)</c:formatCode>
                <c:ptCount val="6"/>
                <c:pt idx="0">
                  <c:v>4526</c:v>
                </c:pt>
                <c:pt idx="1">
                  <c:v>4315</c:v>
                </c:pt>
                <c:pt idx="2">
                  <c:v>3966</c:v>
                </c:pt>
                <c:pt idx="3">
                  <c:v>2550</c:v>
                </c:pt>
                <c:pt idx="4">
                  <c:v>2639</c:v>
                </c:pt>
                <c:pt idx="5">
                  <c:v>3562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1A-4A76-942D-23C74D549255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추정수익($)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차트작업!$A$4:$A$9</c:f>
              <c:numCache>
                <c:formatCode>General"월"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차트작업!$D$4:$D$9</c:f>
              <c:numCache>
                <c:formatCode>_(* #,##0_);_(* \(#,##0\);_(* "-"_);_(@_)</c:formatCode>
                <c:ptCount val="6"/>
                <c:pt idx="0">
                  <c:v>2418</c:v>
                </c:pt>
                <c:pt idx="1">
                  <c:v>2311</c:v>
                </c:pt>
                <c:pt idx="2">
                  <c:v>2156</c:v>
                </c:pt>
                <c:pt idx="3">
                  <c:v>1722</c:v>
                </c:pt>
                <c:pt idx="4">
                  <c:v>1731</c:v>
                </c:pt>
                <c:pt idx="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1A-4A76-942D-23C74D549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4380671"/>
        <c:axId val="534390239"/>
      </c:barChart>
      <c:catAx>
        <c:axId val="534380671"/>
        <c:scaling>
          <c:orientation val="minMax"/>
        </c:scaling>
        <c:delete val="0"/>
        <c:axPos val="b"/>
        <c:numFmt formatCode="General&quot;월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4390239"/>
        <c:crosses val="autoZero"/>
        <c:auto val="1"/>
        <c:lblAlgn val="ctr"/>
        <c:lblOffset val="100"/>
        <c:noMultiLvlLbl val="0"/>
      </c:catAx>
      <c:valAx>
        <c:axId val="53439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4380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121443</xdr:colOff>
      <xdr:row>10</xdr:row>
      <xdr:rowOff>14288</xdr:rowOff>
    </xdr:from>
    <xdr:to>
      <xdr:col>7</xdr:col>
      <xdr:colOff>14287</xdr:colOff>
      <xdr:row>22</xdr:row>
      <xdr:rowOff>9526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zoomScaleNormal="100" workbookViewId="0">
      <selection activeCell="F22" sqref="F22"/>
    </sheetView>
  </sheetViews>
  <sheetFormatPr defaultColWidth="9" defaultRowHeight="16.899999999999999" x14ac:dyDescent="0.6"/>
  <cols>
    <col min="1" max="1" width="12.625" style="6" customWidth="1"/>
    <col min="2" max="2" width="15.75" style="6" customWidth="1"/>
    <col min="3" max="3" width="12.375" style="6" bestFit="1" customWidth="1"/>
    <col min="4" max="4" width="10.125" style="6" customWidth="1"/>
    <col min="5" max="5" width="15.75" style="6" customWidth="1"/>
    <col min="6" max="16384" width="9" style="7"/>
  </cols>
  <sheetData>
    <row r="1" spans="1:4" x14ac:dyDescent="0.6">
      <c r="A1" s="5" t="s">
        <v>13</v>
      </c>
    </row>
    <row r="4" spans="1:4" x14ac:dyDescent="0.6">
      <c r="D4" s="8"/>
    </row>
    <row r="5" spans="1:4" x14ac:dyDescent="0.6">
      <c r="D5" s="8"/>
    </row>
    <row r="6" spans="1:4" x14ac:dyDescent="0.6">
      <c r="D6" s="8"/>
    </row>
    <row r="7" spans="1:4" x14ac:dyDescent="0.6">
      <c r="D7" s="8"/>
    </row>
    <row r="8" spans="1:4" x14ac:dyDescent="0.6">
      <c r="D8" s="8"/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3"/>
  <sheetViews>
    <sheetView zoomScale="115" zoomScaleNormal="115" workbookViewId="0">
      <selection activeCell="E17" sqref="E17"/>
    </sheetView>
  </sheetViews>
  <sheetFormatPr defaultColWidth="9" defaultRowHeight="16.899999999999999" x14ac:dyDescent="0.6"/>
  <cols>
    <col min="1" max="1" width="15.125" style="3" customWidth="1"/>
    <col min="2" max="5" width="9.875" style="3" customWidth="1"/>
    <col min="6" max="6" width="11.375" style="3" customWidth="1"/>
    <col min="7" max="8" width="9.875" style="3" customWidth="1"/>
    <col min="9" max="16384" width="9" style="3"/>
  </cols>
  <sheetData>
    <row r="1" spans="1:9" x14ac:dyDescent="0.6">
      <c r="A1" s="3" t="s">
        <v>179</v>
      </c>
    </row>
    <row r="3" spans="1:9" x14ac:dyDescent="0.6">
      <c r="I3" s="16" t="s">
        <v>21</v>
      </c>
    </row>
    <row r="4" spans="1:9" x14ac:dyDescent="0.6">
      <c r="B4" s="3">
        <v>2015</v>
      </c>
      <c r="D4" s="3">
        <v>2020</v>
      </c>
      <c r="F4" s="3" t="s">
        <v>180</v>
      </c>
      <c r="H4" s="3" t="s">
        <v>181</v>
      </c>
    </row>
    <row r="5" spans="1:9" x14ac:dyDescent="0.6">
      <c r="B5" s="15" t="s">
        <v>182</v>
      </c>
      <c r="C5" s="15" t="s">
        <v>183</v>
      </c>
      <c r="D5" s="15" t="s">
        <v>182</v>
      </c>
      <c r="E5" s="15" t="s">
        <v>183</v>
      </c>
      <c r="F5" s="15" t="s">
        <v>182</v>
      </c>
      <c r="G5" s="15" t="s">
        <v>183</v>
      </c>
      <c r="H5" s="15" t="s">
        <v>182</v>
      </c>
      <c r="I5" s="15" t="s">
        <v>183</v>
      </c>
    </row>
    <row r="6" spans="1:9" x14ac:dyDescent="0.6">
      <c r="A6" s="15" t="s">
        <v>22</v>
      </c>
      <c r="B6" s="3">
        <v>19112</v>
      </c>
      <c r="C6" s="3">
        <v>5211</v>
      </c>
      <c r="D6" s="3">
        <v>20927</v>
      </c>
      <c r="E6" s="3">
        <v>6643</v>
      </c>
      <c r="F6" s="3">
        <v>1815</v>
      </c>
      <c r="G6" s="3">
        <v>1432</v>
      </c>
      <c r="H6" s="3">
        <v>9.5</v>
      </c>
      <c r="I6" s="3">
        <v>27.5</v>
      </c>
    </row>
    <row r="7" spans="1:9" x14ac:dyDescent="0.6">
      <c r="A7" s="15" t="s">
        <v>14</v>
      </c>
      <c r="B7" s="3">
        <v>1272</v>
      </c>
      <c r="C7" s="3">
        <v>878</v>
      </c>
      <c r="D7" s="3">
        <v>1774</v>
      </c>
      <c r="E7" s="3">
        <v>1343</v>
      </c>
      <c r="F7" s="3">
        <v>502</v>
      </c>
      <c r="G7" s="3">
        <v>465</v>
      </c>
      <c r="H7" s="71">
        <v>39.5</v>
      </c>
      <c r="I7" s="71">
        <v>52.9</v>
      </c>
    </row>
    <row r="8" spans="1:9" x14ac:dyDescent="0.6">
      <c r="A8" s="15" t="s">
        <v>15</v>
      </c>
      <c r="B8" s="3">
        <v>3084</v>
      </c>
      <c r="C8" s="3">
        <v>823</v>
      </c>
      <c r="D8" s="3">
        <v>3123</v>
      </c>
      <c r="E8" s="3">
        <v>1115</v>
      </c>
      <c r="F8" s="3">
        <v>38</v>
      </c>
      <c r="G8" s="3">
        <v>292</v>
      </c>
      <c r="H8" s="71">
        <v>1.2</v>
      </c>
      <c r="I8" s="71">
        <v>35.5</v>
      </c>
    </row>
    <row r="9" spans="1:9" x14ac:dyDescent="0.6">
      <c r="A9" s="15" t="s">
        <v>16</v>
      </c>
      <c r="B9" s="3">
        <v>4413</v>
      </c>
      <c r="C9" s="3">
        <v>760</v>
      </c>
      <c r="D9" s="3">
        <v>4260</v>
      </c>
      <c r="E9" s="3">
        <v>904</v>
      </c>
      <c r="F9" s="3">
        <v>-154</v>
      </c>
      <c r="G9" s="3">
        <v>144</v>
      </c>
      <c r="H9" s="71">
        <v>-3.5</v>
      </c>
      <c r="I9" s="71">
        <v>19</v>
      </c>
    </row>
    <row r="10" spans="1:9" x14ac:dyDescent="0.6">
      <c r="A10" s="15" t="s">
        <v>17</v>
      </c>
      <c r="B10" s="3">
        <v>4589</v>
      </c>
      <c r="C10" s="3">
        <v>861</v>
      </c>
      <c r="D10" s="3">
        <v>4810</v>
      </c>
      <c r="E10" s="3">
        <v>1039</v>
      </c>
      <c r="F10" s="3">
        <v>220</v>
      </c>
      <c r="G10" s="3">
        <v>179</v>
      </c>
      <c r="H10" s="71">
        <v>4.8</v>
      </c>
      <c r="I10" s="71">
        <v>20.7</v>
      </c>
    </row>
    <row r="11" spans="1:9" x14ac:dyDescent="0.6">
      <c r="A11" s="15" t="s">
        <v>18</v>
      </c>
      <c r="B11" s="3">
        <v>2960</v>
      </c>
      <c r="C11" s="3">
        <v>735</v>
      </c>
      <c r="D11" s="3">
        <v>3787</v>
      </c>
      <c r="E11" s="3">
        <v>1039</v>
      </c>
      <c r="F11" s="3">
        <v>827</v>
      </c>
      <c r="G11" s="3">
        <v>304</v>
      </c>
      <c r="H11" s="71">
        <v>27.9</v>
      </c>
      <c r="I11" s="71">
        <v>41.3</v>
      </c>
    </row>
    <row r="12" spans="1:9" x14ac:dyDescent="0.6">
      <c r="A12" s="15" t="s">
        <v>19</v>
      </c>
      <c r="B12" s="3">
        <v>2794</v>
      </c>
      <c r="C12" s="3">
        <v>1154</v>
      </c>
      <c r="D12" s="3">
        <v>3174</v>
      </c>
      <c r="E12" s="3">
        <v>1202</v>
      </c>
      <c r="F12" s="3">
        <v>381</v>
      </c>
      <c r="G12" s="3">
        <v>49</v>
      </c>
      <c r="H12" s="71">
        <v>13.6</v>
      </c>
      <c r="I12" s="71">
        <v>4.2</v>
      </c>
    </row>
    <row r="13" spans="1:9" x14ac:dyDescent="0.6">
      <c r="A13" s="15" t="s">
        <v>20</v>
      </c>
      <c r="B13" s="15">
        <v>100</v>
      </c>
      <c r="C13" s="15">
        <v>100</v>
      </c>
      <c r="D13" s="15">
        <v>100</v>
      </c>
      <c r="E13" s="15">
        <v>100</v>
      </c>
      <c r="F13" s="15">
        <v>0</v>
      </c>
      <c r="G13" s="15">
        <v>0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2"/>
  <sheetViews>
    <sheetView tabSelected="1" workbookViewId="0">
      <selection activeCell="H13" sqref="H13"/>
    </sheetView>
  </sheetViews>
  <sheetFormatPr defaultRowHeight="16.899999999999999" x14ac:dyDescent="0.6"/>
  <cols>
    <col min="1" max="1" width="14.625" customWidth="1"/>
    <col min="2" max="3" width="11.8125" customWidth="1"/>
    <col min="4" max="4" width="12.75" customWidth="1"/>
    <col min="5" max="5" width="19.9375" customWidth="1"/>
    <col min="7" max="7" width="11.0625" bestFit="1" customWidth="1"/>
  </cols>
  <sheetData>
    <row r="1" spans="1:8" x14ac:dyDescent="0.6">
      <c r="A1" s="73" t="s">
        <v>194</v>
      </c>
      <c r="B1" s="73"/>
      <c r="C1" s="73"/>
      <c r="D1" s="73"/>
      <c r="E1" s="18"/>
      <c r="F1" s="1"/>
      <c r="G1" s="18"/>
      <c r="H1" s="18"/>
    </row>
    <row r="2" spans="1:8" x14ac:dyDescent="0.6">
      <c r="A2" s="73"/>
      <c r="B2" s="73"/>
      <c r="C2" s="73"/>
      <c r="D2" s="73"/>
      <c r="E2" s="18"/>
      <c r="F2" s="1"/>
      <c r="G2" s="18"/>
      <c r="H2" s="18"/>
    </row>
    <row r="3" spans="1:8" x14ac:dyDescent="0.6">
      <c r="A3" s="74" t="s">
        <v>193</v>
      </c>
      <c r="B3" s="74" t="s">
        <v>23</v>
      </c>
      <c r="C3" s="74" t="s">
        <v>24</v>
      </c>
      <c r="D3" s="75" t="s">
        <v>25</v>
      </c>
      <c r="E3" s="76" t="s">
        <v>26</v>
      </c>
      <c r="F3" s="1"/>
      <c r="G3" s="19" t="s">
        <v>192</v>
      </c>
      <c r="H3" s="18"/>
    </row>
    <row r="4" spans="1:8" x14ac:dyDescent="0.6">
      <c r="A4" s="22">
        <v>43831</v>
      </c>
      <c r="B4" s="77">
        <v>6784364</v>
      </c>
      <c r="C4" s="77">
        <v>0</v>
      </c>
      <c r="D4" s="77">
        <v>6784364</v>
      </c>
      <c r="E4" s="24" t="s">
        <v>27</v>
      </c>
      <c r="F4" s="1"/>
      <c r="G4" s="72"/>
      <c r="H4" s="72"/>
    </row>
    <row r="5" spans="1:8" x14ac:dyDescent="0.6">
      <c r="A5" s="22">
        <v>43831</v>
      </c>
      <c r="B5" s="77">
        <v>0</v>
      </c>
      <c r="C5" s="77">
        <v>1050000</v>
      </c>
      <c r="D5" s="77">
        <v>5734364</v>
      </c>
      <c r="E5" s="24" t="s">
        <v>28</v>
      </c>
      <c r="F5" s="1"/>
      <c r="G5" s="72"/>
      <c r="H5" s="72"/>
    </row>
    <row r="6" spans="1:8" x14ac:dyDescent="0.6">
      <c r="A6" s="22">
        <v>43831</v>
      </c>
      <c r="B6" s="77">
        <v>30000</v>
      </c>
      <c r="C6" s="77">
        <v>0</v>
      </c>
      <c r="D6" s="77">
        <v>5764364</v>
      </c>
      <c r="E6" s="24" t="s">
        <v>185</v>
      </c>
      <c r="F6" s="1"/>
      <c r="G6" s="18"/>
      <c r="H6" s="18"/>
    </row>
    <row r="7" spans="1:8" x14ac:dyDescent="0.6">
      <c r="A7" s="22">
        <v>43831</v>
      </c>
      <c r="B7" s="77">
        <v>30000</v>
      </c>
      <c r="C7" s="77">
        <v>0</v>
      </c>
      <c r="D7" s="77">
        <v>5794364</v>
      </c>
      <c r="E7" s="24" t="s">
        <v>29</v>
      </c>
      <c r="F7" s="1"/>
      <c r="G7" s="1"/>
      <c r="H7" s="1"/>
    </row>
    <row r="8" spans="1:8" x14ac:dyDescent="0.6">
      <c r="A8" s="22">
        <v>43863</v>
      </c>
      <c r="B8" s="77">
        <v>30000</v>
      </c>
      <c r="C8" s="77">
        <v>0</v>
      </c>
      <c r="D8" s="77">
        <v>5824364</v>
      </c>
      <c r="E8" s="24" t="s">
        <v>30</v>
      </c>
      <c r="F8" s="1"/>
      <c r="G8" s="21"/>
      <c r="H8" s="21"/>
    </row>
    <row r="9" spans="1:8" x14ac:dyDescent="0.6">
      <c r="A9" s="22">
        <v>43864</v>
      </c>
      <c r="B9" s="77">
        <v>30000</v>
      </c>
      <c r="C9" s="77">
        <v>0</v>
      </c>
      <c r="D9" s="77">
        <v>5854364</v>
      </c>
      <c r="E9" s="24" t="s">
        <v>191</v>
      </c>
      <c r="F9" s="1"/>
      <c r="G9" s="22"/>
      <c r="H9" s="23"/>
    </row>
    <row r="10" spans="1:8" x14ac:dyDescent="0.55000000000000004">
      <c r="A10" s="22">
        <v>43865</v>
      </c>
      <c r="B10" s="77">
        <v>50000</v>
      </c>
      <c r="C10" s="77">
        <v>0</v>
      </c>
      <c r="D10" s="77">
        <v>5904364</v>
      </c>
      <c r="E10" s="24" t="s">
        <v>186</v>
      </c>
      <c r="F10" s="1"/>
      <c r="G10" s="20"/>
      <c r="H10" s="70"/>
    </row>
    <row r="11" spans="1:8" x14ac:dyDescent="0.6">
      <c r="A11" s="22">
        <v>43866</v>
      </c>
      <c r="B11" s="77">
        <v>180000</v>
      </c>
      <c r="C11" s="77">
        <v>0</v>
      </c>
      <c r="D11" s="77">
        <v>6084364</v>
      </c>
      <c r="E11" s="24" t="s">
        <v>190</v>
      </c>
      <c r="F11" s="1"/>
      <c r="G11" s="22"/>
      <c r="H11" s="23"/>
    </row>
    <row r="12" spans="1:8" x14ac:dyDescent="0.6">
      <c r="A12" s="22">
        <v>43867</v>
      </c>
      <c r="B12" s="77">
        <v>30000</v>
      </c>
      <c r="C12" s="77">
        <v>0</v>
      </c>
      <c r="D12" s="77">
        <v>6114364</v>
      </c>
      <c r="E12" s="24" t="s">
        <v>185</v>
      </c>
      <c r="F12" s="1"/>
      <c r="G12" s="22"/>
      <c r="H12" s="23"/>
    </row>
    <row r="13" spans="1:8" x14ac:dyDescent="0.6">
      <c r="A13" s="22">
        <v>43893</v>
      </c>
      <c r="B13" s="77">
        <v>50000</v>
      </c>
      <c r="C13" s="77">
        <v>0</v>
      </c>
      <c r="D13" s="77">
        <v>6164364</v>
      </c>
      <c r="E13" s="24" t="s">
        <v>189</v>
      </c>
      <c r="F13" s="1"/>
      <c r="G13" s="18"/>
      <c r="H13" s="18"/>
    </row>
    <row r="14" spans="1:8" x14ac:dyDescent="0.6">
      <c r="A14" s="22">
        <v>43894</v>
      </c>
      <c r="B14" s="77">
        <v>30000</v>
      </c>
      <c r="C14" s="77">
        <v>0</v>
      </c>
      <c r="D14" s="77">
        <v>6194364</v>
      </c>
      <c r="E14" s="24" t="s">
        <v>188</v>
      </c>
      <c r="F14" s="1"/>
      <c r="G14" s="18"/>
      <c r="H14" s="18"/>
    </row>
    <row r="15" spans="1:8" x14ac:dyDescent="0.6">
      <c r="A15" s="22">
        <v>43895</v>
      </c>
      <c r="B15" s="77">
        <v>30000</v>
      </c>
      <c r="C15" s="77">
        <v>0</v>
      </c>
      <c r="D15" s="77">
        <v>6224364</v>
      </c>
      <c r="E15" s="24" t="s">
        <v>186</v>
      </c>
      <c r="F15" s="1"/>
      <c r="G15" s="18"/>
      <c r="H15" s="18"/>
    </row>
    <row r="16" spans="1:8" x14ac:dyDescent="0.6">
      <c r="A16" s="22">
        <v>43896</v>
      </c>
      <c r="B16" s="77">
        <v>0</v>
      </c>
      <c r="C16" s="77">
        <v>27670</v>
      </c>
      <c r="D16" s="77">
        <v>6196694</v>
      </c>
      <c r="E16" s="24" t="s">
        <v>31</v>
      </c>
      <c r="F16" s="1"/>
      <c r="G16" s="18"/>
      <c r="H16" s="18"/>
    </row>
    <row r="17" spans="1:8" x14ac:dyDescent="0.6">
      <c r="A17" s="22">
        <v>43897</v>
      </c>
      <c r="B17" s="77">
        <v>300000</v>
      </c>
      <c r="C17" s="77">
        <v>0</v>
      </c>
      <c r="D17" s="77">
        <v>6496694</v>
      </c>
      <c r="E17" s="24" t="s">
        <v>32</v>
      </c>
      <c r="F17" s="1"/>
      <c r="G17" s="18"/>
      <c r="H17" s="18"/>
    </row>
    <row r="18" spans="1:8" x14ac:dyDescent="0.6">
      <c r="A18" s="22">
        <v>43898</v>
      </c>
      <c r="B18" s="77">
        <v>30000</v>
      </c>
      <c r="C18" s="77">
        <v>0</v>
      </c>
      <c r="D18" s="77">
        <v>6526694</v>
      </c>
      <c r="E18" s="24" t="s">
        <v>33</v>
      </c>
      <c r="F18" s="1"/>
      <c r="G18" s="18"/>
      <c r="H18" s="18"/>
    </row>
    <row r="19" spans="1:8" x14ac:dyDescent="0.6">
      <c r="A19" s="22">
        <v>43927</v>
      </c>
      <c r="B19" s="77">
        <v>50000</v>
      </c>
      <c r="C19" s="77">
        <v>0</v>
      </c>
      <c r="D19" s="77">
        <v>6576694</v>
      </c>
      <c r="E19" s="24" t="s">
        <v>185</v>
      </c>
      <c r="F19" s="1"/>
      <c r="G19" s="18"/>
      <c r="H19" s="18"/>
    </row>
    <row r="20" spans="1:8" x14ac:dyDescent="0.6">
      <c r="A20" s="22">
        <v>43928</v>
      </c>
      <c r="B20" s="77">
        <v>30000</v>
      </c>
      <c r="C20" s="77">
        <v>0</v>
      </c>
      <c r="D20" s="77">
        <v>6606694</v>
      </c>
      <c r="E20" s="24" t="s">
        <v>186</v>
      </c>
      <c r="F20" s="1"/>
      <c r="G20" s="18"/>
      <c r="H20" s="18"/>
    </row>
    <row r="21" spans="1:8" x14ac:dyDescent="0.6">
      <c r="A21" s="22">
        <v>43929</v>
      </c>
      <c r="B21" s="77">
        <v>0</v>
      </c>
      <c r="C21" s="77">
        <v>20</v>
      </c>
      <c r="D21" s="77">
        <v>6606674</v>
      </c>
      <c r="E21" s="24" t="s">
        <v>34</v>
      </c>
      <c r="F21" s="1"/>
      <c r="G21" s="18"/>
      <c r="H21" s="18"/>
    </row>
    <row r="22" spans="1:8" x14ac:dyDescent="0.6">
      <c r="A22" s="22">
        <v>43930</v>
      </c>
      <c r="B22" s="77">
        <v>30000</v>
      </c>
      <c r="C22" s="77">
        <v>0</v>
      </c>
      <c r="D22" s="77">
        <v>6636674</v>
      </c>
      <c r="E22" s="24" t="s">
        <v>35</v>
      </c>
      <c r="F22" s="1"/>
      <c r="G22" s="18"/>
      <c r="H22" s="18"/>
    </row>
    <row r="23" spans="1:8" x14ac:dyDescent="0.6">
      <c r="A23" s="22">
        <v>43931</v>
      </c>
      <c r="B23" s="77">
        <v>90000</v>
      </c>
      <c r="C23" s="77">
        <v>0</v>
      </c>
      <c r="D23" s="77">
        <v>6726674</v>
      </c>
      <c r="E23" s="24" t="s">
        <v>186</v>
      </c>
      <c r="F23" s="1"/>
      <c r="G23" s="18"/>
      <c r="H23" s="18"/>
    </row>
    <row r="24" spans="1:8" x14ac:dyDescent="0.6">
      <c r="A24" s="22">
        <v>43932</v>
      </c>
      <c r="B24" s="77">
        <v>30000</v>
      </c>
      <c r="C24" s="77">
        <v>0</v>
      </c>
      <c r="D24" s="77">
        <v>6756674</v>
      </c>
      <c r="E24" s="24" t="s">
        <v>36</v>
      </c>
      <c r="F24" s="1"/>
      <c r="G24" s="18"/>
      <c r="H24" s="18"/>
    </row>
    <row r="25" spans="1:8" x14ac:dyDescent="0.6">
      <c r="A25" s="22">
        <v>43959</v>
      </c>
      <c r="B25" s="77">
        <v>30000</v>
      </c>
      <c r="C25" s="77">
        <v>0</v>
      </c>
      <c r="D25" s="77">
        <v>6786674</v>
      </c>
      <c r="E25" s="24" t="s">
        <v>187</v>
      </c>
      <c r="F25" s="1"/>
      <c r="G25" s="18"/>
      <c r="H25" s="18"/>
    </row>
    <row r="26" spans="1:8" x14ac:dyDescent="0.6">
      <c r="A26" s="22">
        <v>43960</v>
      </c>
      <c r="B26" s="77">
        <v>50000</v>
      </c>
      <c r="C26" s="77">
        <v>0</v>
      </c>
      <c r="D26" s="77">
        <v>6836674</v>
      </c>
      <c r="E26" s="24" t="s">
        <v>37</v>
      </c>
      <c r="F26" s="1"/>
      <c r="G26" s="18"/>
      <c r="H26" s="18"/>
    </row>
    <row r="27" spans="1:8" x14ac:dyDescent="0.6">
      <c r="A27" s="22">
        <v>43961</v>
      </c>
      <c r="B27" s="77">
        <v>0</v>
      </c>
      <c r="C27" s="77">
        <v>4000</v>
      </c>
      <c r="D27" s="77">
        <v>6832674</v>
      </c>
      <c r="E27" s="24" t="s">
        <v>38</v>
      </c>
      <c r="F27" s="1"/>
      <c r="G27" s="18"/>
      <c r="H27" s="18"/>
    </row>
    <row r="28" spans="1:8" x14ac:dyDescent="0.6">
      <c r="A28" s="22">
        <v>43962</v>
      </c>
      <c r="B28" s="77">
        <v>0</v>
      </c>
      <c r="C28" s="77">
        <v>25300</v>
      </c>
      <c r="D28" s="77">
        <v>6807374</v>
      </c>
      <c r="E28" s="24" t="s">
        <v>39</v>
      </c>
      <c r="F28" s="1"/>
      <c r="G28" s="18"/>
      <c r="H28" s="18"/>
    </row>
    <row r="29" spans="1:8" x14ac:dyDescent="0.6">
      <c r="A29" s="22">
        <v>43963</v>
      </c>
      <c r="B29" s="77">
        <v>30000</v>
      </c>
      <c r="C29" s="77">
        <v>0</v>
      </c>
      <c r="D29" s="77">
        <v>6837374</v>
      </c>
      <c r="E29" s="24" t="s">
        <v>186</v>
      </c>
      <c r="F29" s="1"/>
      <c r="G29" s="18"/>
      <c r="H29" s="18"/>
    </row>
    <row r="30" spans="1:8" x14ac:dyDescent="0.6">
      <c r="A30" s="22">
        <v>43964</v>
      </c>
      <c r="B30" s="77">
        <v>30000</v>
      </c>
      <c r="C30" s="77">
        <v>0</v>
      </c>
      <c r="D30" s="77">
        <v>6867374</v>
      </c>
      <c r="E30" s="24" t="s">
        <v>40</v>
      </c>
      <c r="F30" s="1"/>
      <c r="G30" s="18"/>
      <c r="H30" s="18"/>
    </row>
    <row r="31" spans="1:8" x14ac:dyDescent="0.6">
      <c r="A31" s="22">
        <v>43965</v>
      </c>
      <c r="B31" s="77">
        <v>30000</v>
      </c>
      <c r="C31" s="77">
        <v>0</v>
      </c>
      <c r="D31" s="77">
        <v>6897374</v>
      </c>
      <c r="E31" s="24" t="s">
        <v>185</v>
      </c>
      <c r="F31" s="1"/>
      <c r="G31" s="18"/>
      <c r="H31" s="18"/>
    </row>
    <row r="32" spans="1:8" x14ac:dyDescent="0.6">
      <c r="A32" s="22">
        <v>43966</v>
      </c>
      <c r="B32" s="77">
        <v>0</v>
      </c>
      <c r="C32" s="77">
        <v>8500</v>
      </c>
      <c r="D32" s="77">
        <v>6888874</v>
      </c>
      <c r="E32" s="24" t="s">
        <v>41</v>
      </c>
      <c r="F32" s="1"/>
      <c r="G32" s="18"/>
      <c r="H32" s="18"/>
    </row>
    <row r="33" spans="1:8" x14ac:dyDescent="0.6">
      <c r="A33" s="22">
        <v>43983</v>
      </c>
      <c r="B33" s="77">
        <v>30000</v>
      </c>
      <c r="C33" s="77">
        <v>0</v>
      </c>
      <c r="D33" s="77">
        <v>6918874</v>
      </c>
      <c r="E33" s="24" t="s">
        <v>42</v>
      </c>
      <c r="F33" s="1"/>
      <c r="G33" s="18"/>
      <c r="H33" s="18"/>
    </row>
    <row r="34" spans="1:8" x14ac:dyDescent="0.6">
      <c r="A34" s="22">
        <v>43984</v>
      </c>
      <c r="B34" s="77">
        <v>30000</v>
      </c>
      <c r="C34" s="77">
        <v>0</v>
      </c>
      <c r="D34" s="77">
        <v>6948874</v>
      </c>
      <c r="E34" s="24" t="s">
        <v>43</v>
      </c>
      <c r="F34" s="1"/>
      <c r="G34" s="18"/>
      <c r="H34" s="18"/>
    </row>
    <row r="35" spans="1:8" x14ac:dyDescent="0.6">
      <c r="A35" s="22">
        <v>43985</v>
      </c>
      <c r="B35" s="77">
        <v>0</v>
      </c>
      <c r="C35" s="77">
        <v>210000</v>
      </c>
      <c r="D35" s="77">
        <v>6738874</v>
      </c>
      <c r="E35" s="24" t="s">
        <v>44</v>
      </c>
      <c r="F35" s="1"/>
      <c r="G35" s="18"/>
      <c r="H35" s="18"/>
    </row>
    <row r="36" spans="1:8" x14ac:dyDescent="0.6">
      <c r="A36" s="22">
        <v>43986</v>
      </c>
      <c r="B36" s="77">
        <v>30000</v>
      </c>
      <c r="C36" s="77">
        <v>0</v>
      </c>
      <c r="D36" s="77">
        <v>6768874</v>
      </c>
      <c r="E36" s="24" t="s">
        <v>186</v>
      </c>
      <c r="F36" s="1"/>
      <c r="G36" s="18"/>
      <c r="H36" s="18"/>
    </row>
    <row r="37" spans="1:8" x14ac:dyDescent="0.6">
      <c r="A37" s="22">
        <v>43987</v>
      </c>
      <c r="B37" s="77">
        <v>0</v>
      </c>
      <c r="C37" s="77">
        <v>74800</v>
      </c>
      <c r="D37" s="77">
        <v>6694074</v>
      </c>
      <c r="E37" s="24" t="s">
        <v>45</v>
      </c>
      <c r="F37" s="1"/>
      <c r="G37" s="18"/>
      <c r="H37" s="18"/>
    </row>
    <row r="38" spans="1:8" x14ac:dyDescent="0.6">
      <c r="A38" s="22">
        <v>43988</v>
      </c>
      <c r="B38" s="77">
        <v>37400</v>
      </c>
      <c r="C38" s="77">
        <v>0</v>
      </c>
      <c r="D38" s="77">
        <v>6731474</v>
      </c>
      <c r="E38" s="24" t="s">
        <v>46</v>
      </c>
      <c r="F38" s="1"/>
      <c r="G38" s="18"/>
      <c r="H38" s="18"/>
    </row>
    <row r="39" spans="1:8" x14ac:dyDescent="0.6">
      <c r="A39" s="22">
        <v>43989</v>
      </c>
      <c r="B39" s="77">
        <v>30000</v>
      </c>
      <c r="C39" s="77">
        <v>0</v>
      </c>
      <c r="D39" s="77">
        <v>6761474</v>
      </c>
      <c r="E39" s="24" t="s">
        <v>185</v>
      </c>
      <c r="F39" s="1"/>
      <c r="G39" s="18"/>
      <c r="H39" s="18"/>
    </row>
    <row r="40" spans="1:8" x14ac:dyDescent="0.6">
      <c r="A40" s="22">
        <v>43990</v>
      </c>
      <c r="B40" s="77">
        <v>60000</v>
      </c>
      <c r="C40" s="77">
        <v>0</v>
      </c>
      <c r="D40" s="77">
        <v>6821474</v>
      </c>
      <c r="E40" s="24" t="s">
        <v>47</v>
      </c>
      <c r="F40" s="1"/>
      <c r="G40" s="18"/>
      <c r="H40" s="18"/>
    </row>
    <row r="41" spans="1:8" x14ac:dyDescent="0.6">
      <c r="A41" s="22">
        <v>43991</v>
      </c>
      <c r="B41" s="77">
        <v>0</v>
      </c>
      <c r="C41" s="77">
        <v>120000</v>
      </c>
      <c r="D41" s="77">
        <v>6701474</v>
      </c>
      <c r="E41" s="24" t="s">
        <v>186</v>
      </c>
      <c r="F41" s="1"/>
      <c r="G41" s="18"/>
      <c r="H41" s="18"/>
    </row>
    <row r="42" spans="1:8" x14ac:dyDescent="0.6">
      <c r="A42" s="22">
        <v>43992</v>
      </c>
      <c r="B42" s="77">
        <v>30000</v>
      </c>
      <c r="C42" s="77">
        <v>0</v>
      </c>
      <c r="D42" s="77">
        <v>6731474</v>
      </c>
      <c r="E42" s="24" t="s">
        <v>185</v>
      </c>
      <c r="F42" s="1"/>
      <c r="G42" s="18"/>
      <c r="H42" s="18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7"/>
  <sheetViews>
    <sheetView zoomScaleNormal="100" workbookViewId="0">
      <selection activeCell="B3" sqref="B3"/>
    </sheetView>
  </sheetViews>
  <sheetFormatPr defaultRowHeight="16.899999999999999" x14ac:dyDescent="0.6"/>
  <cols>
    <col min="1" max="1" width="10.5625" bestFit="1" customWidth="1"/>
    <col min="2" max="2" width="9.75" bestFit="1" customWidth="1"/>
    <col min="3" max="3" width="10.0625" bestFit="1" customWidth="1"/>
    <col min="4" max="4" width="11.375" customWidth="1"/>
  </cols>
  <sheetData>
    <row r="1" spans="1:14" x14ac:dyDescent="0.6">
      <c r="A1" t="s">
        <v>71</v>
      </c>
      <c r="I1" t="s">
        <v>73</v>
      </c>
    </row>
    <row r="2" spans="1:14" x14ac:dyDescent="0.6">
      <c r="A2" s="25" t="s">
        <v>48</v>
      </c>
      <c r="B2" s="25" t="s">
        <v>175</v>
      </c>
      <c r="C2" s="25" t="s">
        <v>49</v>
      </c>
      <c r="D2" s="25" t="s">
        <v>50</v>
      </c>
      <c r="F2" s="15" t="s">
        <v>72</v>
      </c>
      <c r="I2" s="25" t="s">
        <v>74</v>
      </c>
      <c r="J2" s="25" t="s">
        <v>75</v>
      </c>
      <c r="K2" s="25" t="s">
        <v>76</v>
      </c>
      <c r="L2" s="25" t="s">
        <v>77</v>
      </c>
      <c r="M2" s="14" t="s">
        <v>78</v>
      </c>
    </row>
    <row r="3" spans="1:14" x14ac:dyDescent="0.6">
      <c r="A3" s="11" t="s">
        <v>51</v>
      </c>
      <c r="B3" s="11" t="s">
        <v>63</v>
      </c>
      <c r="C3" s="11" t="s">
        <v>59</v>
      </c>
      <c r="D3" s="11">
        <v>75</v>
      </c>
      <c r="F3" s="25" t="s">
        <v>176</v>
      </c>
      <c r="G3" s="14" t="s">
        <v>177</v>
      </c>
      <c r="I3" s="11" t="s">
        <v>79</v>
      </c>
      <c r="J3" s="11" t="s">
        <v>68</v>
      </c>
      <c r="K3" s="2">
        <v>185</v>
      </c>
      <c r="L3" s="2">
        <v>85</v>
      </c>
      <c r="M3" s="11"/>
    </row>
    <row r="4" spans="1:14" x14ac:dyDescent="0.6">
      <c r="A4" s="11" t="s">
        <v>52</v>
      </c>
      <c r="B4" s="11" t="s">
        <v>63</v>
      </c>
      <c r="C4" s="11" t="s">
        <v>61</v>
      </c>
      <c r="D4" s="11">
        <v>63</v>
      </c>
      <c r="F4" s="11" t="s">
        <v>69</v>
      </c>
      <c r="G4" s="2"/>
      <c r="I4" s="11" t="s">
        <v>80</v>
      </c>
      <c r="J4" s="11" t="s">
        <v>88</v>
      </c>
      <c r="K4" s="2">
        <v>175</v>
      </c>
      <c r="L4" s="2">
        <v>90</v>
      </c>
      <c r="M4" s="11"/>
    </row>
    <row r="5" spans="1:14" x14ac:dyDescent="0.6">
      <c r="A5" s="11" t="s">
        <v>53</v>
      </c>
      <c r="B5" s="11" t="s">
        <v>63</v>
      </c>
      <c r="C5" s="11" t="s">
        <v>61</v>
      </c>
      <c r="D5" s="11">
        <v>83</v>
      </c>
      <c r="F5" s="11" t="s">
        <v>70</v>
      </c>
      <c r="G5" s="2"/>
      <c r="I5" s="11" t="s">
        <v>81</v>
      </c>
      <c r="J5" s="11" t="s">
        <v>90</v>
      </c>
      <c r="K5" s="2">
        <v>153</v>
      </c>
      <c r="L5" s="2">
        <v>48</v>
      </c>
      <c r="M5" s="11"/>
    </row>
    <row r="6" spans="1:14" x14ac:dyDescent="0.6">
      <c r="A6" s="11" t="s">
        <v>54</v>
      </c>
      <c r="B6" s="11" t="s">
        <v>64</v>
      </c>
      <c r="C6" s="11" t="s">
        <v>59</v>
      </c>
      <c r="D6" s="11">
        <v>85</v>
      </c>
      <c r="F6" s="11" t="s">
        <v>66</v>
      </c>
      <c r="G6" s="2"/>
      <c r="I6" s="11" t="s">
        <v>82</v>
      </c>
      <c r="J6" s="11" t="s">
        <v>91</v>
      </c>
      <c r="K6" s="2">
        <v>155</v>
      </c>
      <c r="L6" s="2">
        <v>40</v>
      </c>
      <c r="M6" s="11"/>
    </row>
    <row r="7" spans="1:14" x14ac:dyDescent="0.6">
      <c r="A7" s="11" t="s">
        <v>55</v>
      </c>
      <c r="B7" s="11" t="s">
        <v>64</v>
      </c>
      <c r="C7" s="11" t="s">
        <v>60</v>
      </c>
      <c r="D7" s="11">
        <v>73</v>
      </c>
      <c r="I7" s="11" t="s">
        <v>83</v>
      </c>
      <c r="J7" s="11" t="s">
        <v>61</v>
      </c>
      <c r="K7" s="2">
        <v>173</v>
      </c>
      <c r="L7" s="2">
        <v>71</v>
      </c>
      <c r="M7" s="11"/>
    </row>
    <row r="8" spans="1:14" x14ac:dyDescent="0.6">
      <c r="A8" s="11" t="s">
        <v>56</v>
      </c>
      <c r="B8" s="11" t="s">
        <v>64</v>
      </c>
      <c r="C8" s="11" t="s">
        <v>61</v>
      </c>
      <c r="D8" s="11">
        <v>92</v>
      </c>
      <c r="I8" s="11" t="s">
        <v>84</v>
      </c>
      <c r="J8" s="11" t="s">
        <v>92</v>
      </c>
      <c r="K8" s="2">
        <v>159</v>
      </c>
      <c r="L8" s="2">
        <v>83</v>
      </c>
      <c r="M8" s="11"/>
    </row>
    <row r="9" spans="1:14" x14ac:dyDescent="0.6">
      <c r="A9" s="11" t="s">
        <v>57</v>
      </c>
      <c r="B9" s="11" t="s">
        <v>65</v>
      </c>
      <c r="C9" s="11" t="s">
        <v>62</v>
      </c>
      <c r="D9" s="11">
        <v>55</v>
      </c>
      <c r="I9" s="11" t="s">
        <v>85</v>
      </c>
      <c r="J9" s="11" t="s">
        <v>89</v>
      </c>
      <c r="K9" s="2">
        <v>169</v>
      </c>
      <c r="L9" s="2">
        <v>71</v>
      </c>
      <c r="M9" s="11"/>
    </row>
    <row r="10" spans="1:14" x14ac:dyDescent="0.6">
      <c r="A10" s="11" t="s">
        <v>58</v>
      </c>
      <c r="B10" s="11" t="s">
        <v>66</v>
      </c>
      <c r="C10" s="11" t="s">
        <v>59</v>
      </c>
      <c r="D10" s="11">
        <v>66</v>
      </c>
      <c r="I10" s="11" t="s">
        <v>86</v>
      </c>
      <c r="J10" s="11" t="s">
        <v>90</v>
      </c>
      <c r="K10" s="2">
        <v>155</v>
      </c>
      <c r="L10" s="2">
        <v>55</v>
      </c>
      <c r="M10" s="11"/>
    </row>
    <row r="11" spans="1:14" x14ac:dyDescent="0.6">
      <c r="A11" s="11" t="s">
        <v>67</v>
      </c>
      <c r="B11" s="11" t="s">
        <v>65</v>
      </c>
      <c r="C11" s="11" t="s">
        <v>68</v>
      </c>
      <c r="D11" s="11">
        <v>84</v>
      </c>
      <c r="I11" s="11" t="s">
        <v>87</v>
      </c>
      <c r="J11" s="11" t="s">
        <v>68</v>
      </c>
      <c r="K11" s="2">
        <v>158</v>
      </c>
      <c r="L11" s="2">
        <v>81</v>
      </c>
      <c r="M11" s="11"/>
    </row>
    <row r="12" spans="1:14" x14ac:dyDescent="0.6">
      <c r="F12" t="s">
        <v>122</v>
      </c>
    </row>
    <row r="13" spans="1:14" x14ac:dyDescent="0.6">
      <c r="A13" s="12" t="s">
        <v>93</v>
      </c>
      <c r="F13" s="88" t="s">
        <v>130</v>
      </c>
      <c r="G13" s="89" t="s">
        <v>140</v>
      </c>
      <c r="H13" s="90"/>
      <c r="I13" s="90"/>
      <c r="J13" s="90"/>
      <c r="K13" s="91"/>
      <c r="L13" s="86" t="s">
        <v>141</v>
      </c>
      <c r="M13" s="86" t="s">
        <v>128</v>
      </c>
      <c r="N13" s="84" t="s">
        <v>129</v>
      </c>
    </row>
    <row r="14" spans="1:14" x14ac:dyDescent="0.6">
      <c r="A14" s="25" t="s">
        <v>95</v>
      </c>
      <c r="B14" s="26" t="s">
        <v>96</v>
      </c>
      <c r="C14" s="25" t="s">
        <v>114</v>
      </c>
      <c r="D14" s="25" t="s">
        <v>94</v>
      </c>
      <c r="F14" s="88"/>
      <c r="G14" s="25" t="s">
        <v>123</v>
      </c>
      <c r="H14" s="25" t="s">
        <v>124</v>
      </c>
      <c r="I14" s="25" t="s">
        <v>125</v>
      </c>
      <c r="J14" s="25" t="s">
        <v>126</v>
      </c>
      <c r="K14" s="25" t="s">
        <v>127</v>
      </c>
      <c r="L14" s="87"/>
      <c r="M14" s="87"/>
      <c r="N14" s="85"/>
    </row>
    <row r="15" spans="1:14" x14ac:dyDescent="0.6">
      <c r="A15" s="11" t="s">
        <v>97</v>
      </c>
      <c r="B15" s="11" t="s">
        <v>98</v>
      </c>
      <c r="C15" s="11" t="s">
        <v>113</v>
      </c>
      <c r="D15" s="27">
        <v>4.5138888888888888E-2</v>
      </c>
      <c r="F15" s="10" t="s">
        <v>131</v>
      </c>
      <c r="G15" s="17" t="s">
        <v>148</v>
      </c>
      <c r="H15" s="2"/>
      <c r="I15" s="17" t="s">
        <v>149</v>
      </c>
      <c r="J15" s="2"/>
      <c r="K15" s="2"/>
      <c r="L15" s="17" t="s">
        <v>142</v>
      </c>
      <c r="M15" s="2">
        <v>43</v>
      </c>
      <c r="N15" s="2"/>
    </row>
    <row r="16" spans="1:14" x14ac:dyDescent="0.6">
      <c r="A16" s="11" t="s">
        <v>99</v>
      </c>
      <c r="B16" s="11" t="s">
        <v>100</v>
      </c>
      <c r="C16" s="11" t="s">
        <v>115</v>
      </c>
      <c r="D16" s="27">
        <v>4.3912037037037034E-2</v>
      </c>
      <c r="F16" s="10" t="s">
        <v>132</v>
      </c>
      <c r="G16" s="2"/>
      <c r="H16" s="17" t="s">
        <v>149</v>
      </c>
      <c r="I16" s="17" t="s">
        <v>148</v>
      </c>
      <c r="J16" s="17" t="s">
        <v>148</v>
      </c>
      <c r="K16" s="2"/>
      <c r="L16" s="17" t="s">
        <v>144</v>
      </c>
      <c r="M16" s="2">
        <v>45</v>
      </c>
      <c r="N16" s="2"/>
    </row>
    <row r="17" spans="1:14" x14ac:dyDescent="0.6">
      <c r="A17" s="11" t="s">
        <v>101</v>
      </c>
      <c r="B17" s="11" t="s">
        <v>102</v>
      </c>
      <c r="C17" s="11" t="s">
        <v>116</v>
      </c>
      <c r="D17" s="27">
        <v>4.4976851851851851E-2</v>
      </c>
      <c r="F17" s="10" t="s">
        <v>133</v>
      </c>
      <c r="G17" s="17" t="s">
        <v>149</v>
      </c>
      <c r="H17" s="17" t="s">
        <v>149</v>
      </c>
      <c r="I17" s="17" t="s">
        <v>149</v>
      </c>
      <c r="J17" s="17" t="s">
        <v>149</v>
      </c>
      <c r="K17" s="2"/>
      <c r="L17" s="17" t="s">
        <v>146</v>
      </c>
      <c r="M17" s="2">
        <v>36</v>
      </c>
      <c r="N17" s="2"/>
    </row>
    <row r="18" spans="1:14" x14ac:dyDescent="0.6">
      <c r="A18" s="11" t="s">
        <v>103</v>
      </c>
      <c r="B18" s="11" t="s">
        <v>104</v>
      </c>
      <c r="C18" s="11" t="s">
        <v>115</v>
      </c>
      <c r="D18" s="27">
        <v>4.5347222222222226E-2</v>
      </c>
      <c r="F18" s="10" t="s">
        <v>134</v>
      </c>
      <c r="G18" s="17" t="s">
        <v>148</v>
      </c>
      <c r="H18" s="17" t="s">
        <v>148</v>
      </c>
      <c r="I18" s="17" t="s">
        <v>149</v>
      </c>
      <c r="J18" s="17" t="s">
        <v>149</v>
      </c>
      <c r="K18" s="17" t="s">
        <v>149</v>
      </c>
      <c r="L18" s="17" t="s">
        <v>147</v>
      </c>
      <c r="M18" s="2">
        <v>25</v>
      </c>
      <c r="N18" s="2"/>
    </row>
    <row r="19" spans="1:14" x14ac:dyDescent="0.6">
      <c r="A19" s="11" t="s">
        <v>105</v>
      </c>
      <c r="B19" s="11" t="s">
        <v>106</v>
      </c>
      <c r="C19" s="11" t="s">
        <v>117</v>
      </c>
      <c r="D19" s="27">
        <v>4.6099537037037036E-2</v>
      </c>
      <c r="F19" s="10" t="s">
        <v>135</v>
      </c>
      <c r="G19" s="17" t="s">
        <v>149</v>
      </c>
      <c r="H19" s="2"/>
      <c r="I19" s="2"/>
      <c r="J19" s="2"/>
      <c r="K19" s="17" t="s">
        <v>148</v>
      </c>
      <c r="L19" s="17" t="s">
        <v>142</v>
      </c>
      <c r="M19" s="2">
        <v>29</v>
      </c>
      <c r="N19" s="2"/>
    </row>
    <row r="20" spans="1:14" x14ac:dyDescent="0.6">
      <c r="A20" s="11" t="s">
        <v>107</v>
      </c>
      <c r="B20" s="11" t="s">
        <v>108</v>
      </c>
      <c r="C20" s="11" t="s">
        <v>118</v>
      </c>
      <c r="D20" s="27">
        <v>4.6770833333333338E-2</v>
      </c>
      <c r="F20" s="10" t="s">
        <v>136</v>
      </c>
      <c r="G20" s="17" t="s">
        <v>149</v>
      </c>
      <c r="H20" s="17" t="s">
        <v>149</v>
      </c>
      <c r="I20" s="17" t="s">
        <v>149</v>
      </c>
      <c r="J20" s="2"/>
      <c r="K20" s="2"/>
      <c r="L20" s="17" t="s">
        <v>145</v>
      </c>
      <c r="M20" s="2">
        <v>31</v>
      </c>
      <c r="N20" s="2"/>
    </row>
    <row r="21" spans="1:14" x14ac:dyDescent="0.6">
      <c r="A21" s="11" t="s">
        <v>109</v>
      </c>
      <c r="B21" s="11" t="s">
        <v>110</v>
      </c>
      <c r="C21" s="11" t="s">
        <v>119</v>
      </c>
      <c r="D21" s="27">
        <v>4.5914351851851852E-2</v>
      </c>
      <c r="F21" s="10" t="s">
        <v>137</v>
      </c>
      <c r="G21" s="2"/>
      <c r="H21" s="17" t="s">
        <v>149</v>
      </c>
      <c r="I21" s="17" t="s">
        <v>149</v>
      </c>
      <c r="J21" s="17" t="s">
        <v>149</v>
      </c>
      <c r="K21" s="17" t="s">
        <v>149</v>
      </c>
      <c r="L21" s="17" t="s">
        <v>146</v>
      </c>
      <c r="M21" s="2">
        <v>36</v>
      </c>
      <c r="N21" s="2"/>
    </row>
    <row r="22" spans="1:14" x14ac:dyDescent="0.6">
      <c r="A22" s="11" t="s">
        <v>111</v>
      </c>
      <c r="B22" s="11" t="s">
        <v>112</v>
      </c>
      <c r="C22" s="11" t="s">
        <v>120</v>
      </c>
      <c r="D22" s="27">
        <v>4.6180555555555558E-2</v>
      </c>
      <c r="F22" s="10" t="s">
        <v>138</v>
      </c>
      <c r="G22" s="17" t="s">
        <v>148</v>
      </c>
      <c r="H22" s="17" t="s">
        <v>149</v>
      </c>
      <c r="I22" s="17" t="s">
        <v>149</v>
      </c>
      <c r="J22" s="17" t="s">
        <v>149</v>
      </c>
      <c r="K22" s="17" t="s">
        <v>149</v>
      </c>
      <c r="L22" s="17" t="s">
        <v>143</v>
      </c>
      <c r="M22" s="2">
        <v>47</v>
      </c>
      <c r="N22" s="2"/>
    </row>
    <row r="23" spans="1:14" x14ac:dyDescent="0.6">
      <c r="A23" s="81" t="s">
        <v>121</v>
      </c>
      <c r="B23" s="81"/>
      <c r="C23" s="82"/>
      <c r="D23" s="82"/>
      <c r="F23" s="10" t="s">
        <v>139</v>
      </c>
      <c r="G23" s="2"/>
      <c r="H23" s="2"/>
      <c r="I23" s="2"/>
      <c r="J23" s="2"/>
      <c r="K23" s="17" t="s">
        <v>148</v>
      </c>
      <c r="L23" s="17" t="s">
        <v>145</v>
      </c>
      <c r="M23" s="2">
        <v>36</v>
      </c>
      <c r="N23" s="2"/>
    </row>
    <row r="25" spans="1:14" x14ac:dyDescent="0.6">
      <c r="A25" s="12" t="s">
        <v>150</v>
      </c>
    </row>
    <row r="26" spans="1:14" x14ac:dyDescent="0.6">
      <c r="A26" s="28" t="s">
        <v>152</v>
      </c>
      <c r="B26" s="28" t="s">
        <v>151</v>
      </c>
      <c r="C26" s="28" t="s">
        <v>158</v>
      </c>
      <c r="D26" s="28" t="s">
        <v>159</v>
      </c>
    </row>
    <row r="27" spans="1:14" x14ac:dyDescent="0.6">
      <c r="A27" s="30">
        <v>44746</v>
      </c>
      <c r="B27" s="28" t="s">
        <v>154</v>
      </c>
      <c r="C27" s="31">
        <v>120000</v>
      </c>
      <c r="D27" s="31">
        <v>30000</v>
      </c>
    </row>
    <row r="28" spans="1:14" x14ac:dyDescent="0.6">
      <c r="A28" s="30">
        <v>44746</v>
      </c>
      <c r="B28" s="28" t="s">
        <v>153</v>
      </c>
      <c r="C28" s="31">
        <v>256000</v>
      </c>
      <c r="D28" s="31">
        <v>33750</v>
      </c>
    </row>
    <row r="29" spans="1:14" x14ac:dyDescent="0.6">
      <c r="A29" s="30">
        <v>44746</v>
      </c>
      <c r="B29" s="28" t="s">
        <v>155</v>
      </c>
      <c r="C29" s="31">
        <v>212000</v>
      </c>
      <c r="D29" s="31">
        <v>53000</v>
      </c>
    </row>
    <row r="30" spans="1:14" x14ac:dyDescent="0.6">
      <c r="A30" s="30">
        <v>44747</v>
      </c>
      <c r="B30" s="28" t="s">
        <v>155</v>
      </c>
      <c r="C30" s="31">
        <v>350000</v>
      </c>
      <c r="D30" s="31">
        <v>87500</v>
      </c>
    </row>
    <row r="31" spans="1:14" x14ac:dyDescent="0.6">
      <c r="A31" s="30">
        <v>44747</v>
      </c>
      <c r="B31" s="28" t="s">
        <v>153</v>
      </c>
      <c r="C31" s="31">
        <v>90000</v>
      </c>
      <c r="D31" s="31">
        <v>22500</v>
      </c>
    </row>
    <row r="32" spans="1:14" x14ac:dyDescent="0.6">
      <c r="A32" s="30">
        <v>44747</v>
      </c>
      <c r="B32" s="28" t="s">
        <v>154</v>
      </c>
      <c r="C32" s="31">
        <v>156000</v>
      </c>
      <c r="D32" s="31">
        <v>39000</v>
      </c>
    </row>
    <row r="33" spans="1:4" x14ac:dyDescent="0.6">
      <c r="A33" s="30">
        <v>44748</v>
      </c>
      <c r="B33" s="28" t="s">
        <v>154</v>
      </c>
      <c r="C33" s="31">
        <v>263000</v>
      </c>
      <c r="D33" s="31">
        <v>65750</v>
      </c>
    </row>
    <row r="34" spans="1:4" x14ac:dyDescent="0.6">
      <c r="A34" s="30">
        <v>44748</v>
      </c>
      <c r="B34" s="28" t="s">
        <v>156</v>
      </c>
      <c r="C34" s="31">
        <v>420000</v>
      </c>
      <c r="D34" s="31">
        <v>105000</v>
      </c>
    </row>
    <row r="35" spans="1:4" x14ac:dyDescent="0.6">
      <c r="A35" s="30">
        <v>44748</v>
      </c>
      <c r="B35" s="28" t="s">
        <v>153</v>
      </c>
      <c r="C35" s="31">
        <v>225000</v>
      </c>
      <c r="D35" s="31">
        <v>46250</v>
      </c>
    </row>
    <row r="36" spans="1:4" x14ac:dyDescent="0.6">
      <c r="A36" s="30">
        <v>44748</v>
      </c>
      <c r="B36" s="28" t="s">
        <v>157</v>
      </c>
      <c r="C36" s="31">
        <v>190000</v>
      </c>
      <c r="D36" s="31">
        <v>47500</v>
      </c>
    </row>
    <row r="37" spans="1:4" ht="34.5" customHeight="1" x14ac:dyDescent="0.6">
      <c r="A37" s="83" t="s">
        <v>184</v>
      </c>
      <c r="B37" s="83"/>
      <c r="C37" s="83"/>
      <c r="D37" s="31"/>
    </row>
  </sheetData>
  <mergeCells count="8">
    <mergeCell ref="A23:B23"/>
    <mergeCell ref="C23:D23"/>
    <mergeCell ref="A37:C37"/>
    <mergeCell ref="N13:N14"/>
    <mergeCell ref="M13:M14"/>
    <mergeCell ref="F13:F14"/>
    <mergeCell ref="G13:K13"/>
    <mergeCell ref="L13:L14"/>
  </mergeCells>
  <phoneticPr fontId="2" type="noConversion"/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workbookViewId="0">
      <selection activeCell="H22" sqref="H22"/>
    </sheetView>
  </sheetViews>
  <sheetFormatPr defaultRowHeight="16.899999999999999" x14ac:dyDescent="0.6"/>
  <cols>
    <col min="1" max="1" width="10.75" bestFit="1" customWidth="1"/>
    <col min="2" max="2" width="13.375" bestFit="1" customWidth="1"/>
    <col min="3" max="3" width="11.3125" bestFit="1" customWidth="1"/>
    <col min="9" max="9" width="10.3125" bestFit="1" customWidth="1"/>
  </cols>
  <sheetData>
    <row r="1" spans="1:9" ht="19.149999999999999" x14ac:dyDescent="0.6">
      <c r="A1" s="92" t="s">
        <v>163</v>
      </c>
      <c r="B1" s="92"/>
      <c r="C1" s="92"/>
    </row>
    <row r="2" spans="1:9" ht="17.25" thickBot="1" x14ac:dyDescent="0.65"/>
    <row r="3" spans="1:9" ht="17.649999999999999" thickTop="1" thickBot="1" x14ac:dyDescent="0.65">
      <c r="B3" s="51" t="s">
        <v>178</v>
      </c>
      <c r="C3" s="35">
        <v>1300</v>
      </c>
    </row>
    <row r="4" spans="1:9" ht="17.649999999999999" thickTop="1" thickBot="1" x14ac:dyDescent="0.65">
      <c r="A4" s="48" t="s">
        <v>162</v>
      </c>
      <c r="B4" s="49" t="s">
        <v>169</v>
      </c>
      <c r="C4" s="50" t="s">
        <v>170</v>
      </c>
    </row>
    <row r="5" spans="1:9" ht="17.25" thickTop="1" x14ac:dyDescent="0.6">
      <c r="A5" s="39">
        <v>1</v>
      </c>
      <c r="B5" s="40">
        <v>1719900</v>
      </c>
      <c r="C5" s="41">
        <f>B5/$C$3</f>
        <v>1323</v>
      </c>
    </row>
    <row r="6" spans="1:9" x14ac:dyDescent="0.6">
      <c r="A6" s="32">
        <v>2</v>
      </c>
      <c r="B6" s="33">
        <v>1632800</v>
      </c>
      <c r="C6" s="34">
        <f t="shared" ref="C6:C10" si="0">B6/$C$3</f>
        <v>1256</v>
      </c>
    </row>
    <row r="7" spans="1:9" x14ac:dyDescent="0.6">
      <c r="A7" s="32">
        <v>3</v>
      </c>
      <c r="B7" s="33">
        <v>1861600</v>
      </c>
      <c r="C7" s="34">
        <f t="shared" si="0"/>
        <v>1432</v>
      </c>
      <c r="I7" s="13"/>
    </row>
    <row r="8" spans="1:9" x14ac:dyDescent="0.6">
      <c r="A8" s="32">
        <v>4</v>
      </c>
      <c r="B8" s="33">
        <v>1723800</v>
      </c>
      <c r="C8" s="34">
        <f t="shared" si="0"/>
        <v>1326</v>
      </c>
    </row>
    <row r="9" spans="1:9" x14ac:dyDescent="0.6">
      <c r="A9" s="32">
        <v>5</v>
      </c>
      <c r="B9" s="33">
        <v>1986400</v>
      </c>
      <c r="C9" s="34">
        <f t="shared" si="0"/>
        <v>1528</v>
      </c>
    </row>
    <row r="10" spans="1:9" ht="17.25" thickBot="1" x14ac:dyDescent="0.65">
      <c r="A10" s="36">
        <v>6</v>
      </c>
      <c r="B10" s="37">
        <v>2320500</v>
      </c>
      <c r="C10" s="38">
        <f t="shared" si="0"/>
        <v>1785</v>
      </c>
    </row>
    <row r="11" spans="1:9" ht="17.649999999999999" thickTop="1" thickBot="1" x14ac:dyDescent="0.65">
      <c r="A11" s="42" t="s">
        <v>160</v>
      </c>
      <c r="B11" s="43">
        <f>SUM(B5:B10)</f>
        <v>11245000</v>
      </c>
      <c r="C11" s="44">
        <f>SUM(C5:C10)</f>
        <v>8650</v>
      </c>
    </row>
    <row r="12" spans="1:9" ht="17.25" thickTop="1" x14ac:dyDescent="0.6">
      <c r="A12" s="39">
        <v>7</v>
      </c>
      <c r="B12" s="40">
        <v>1723800</v>
      </c>
      <c r="C12" s="41">
        <f>B12/$C$3</f>
        <v>1326</v>
      </c>
    </row>
    <row r="13" spans="1:9" x14ac:dyDescent="0.6">
      <c r="A13" s="32">
        <v>8</v>
      </c>
      <c r="B13" s="33">
        <v>2120300</v>
      </c>
      <c r="C13" s="34">
        <f t="shared" ref="C13:C17" si="1">B13/$C$3</f>
        <v>1631</v>
      </c>
    </row>
    <row r="14" spans="1:9" x14ac:dyDescent="0.6">
      <c r="A14" s="32">
        <v>9</v>
      </c>
      <c r="B14" s="33">
        <v>2614300</v>
      </c>
      <c r="C14" s="34">
        <f t="shared" si="1"/>
        <v>2011</v>
      </c>
    </row>
    <row r="15" spans="1:9" x14ac:dyDescent="0.6">
      <c r="A15" s="32">
        <v>10</v>
      </c>
      <c r="B15" s="33">
        <v>2527200</v>
      </c>
      <c r="C15" s="34">
        <f t="shared" si="1"/>
        <v>1944</v>
      </c>
    </row>
    <row r="16" spans="1:9" x14ac:dyDescent="0.6">
      <c r="A16" s="32">
        <v>11</v>
      </c>
      <c r="B16" s="33">
        <v>2585700</v>
      </c>
      <c r="C16" s="34">
        <f t="shared" si="1"/>
        <v>1989</v>
      </c>
    </row>
    <row r="17" spans="1:3" ht="17.25" thickBot="1" x14ac:dyDescent="0.65">
      <c r="A17" s="36">
        <v>12</v>
      </c>
      <c r="B17" s="37">
        <v>2620800</v>
      </c>
      <c r="C17" s="38">
        <f t="shared" si="1"/>
        <v>2016</v>
      </c>
    </row>
    <row r="18" spans="1:3" ht="17.649999999999999" thickTop="1" thickBot="1" x14ac:dyDescent="0.65">
      <c r="A18" s="45" t="s">
        <v>161</v>
      </c>
      <c r="B18" s="46">
        <f>SUM(B12:B17)</f>
        <v>14192100</v>
      </c>
      <c r="C18" s="47">
        <f>SUM(C12:C17)</f>
        <v>10917</v>
      </c>
    </row>
    <row r="19" spans="1:3" ht="17.25" thickTop="1" x14ac:dyDescent="0.6"/>
  </sheetData>
  <mergeCells count="1">
    <mergeCell ref="A1:C1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1"/>
  <sheetViews>
    <sheetView workbookViewId="0">
      <selection activeCell="F16" sqref="F16"/>
    </sheetView>
  </sheetViews>
  <sheetFormatPr defaultRowHeight="16.899999999999999" x14ac:dyDescent="0.6"/>
  <sheetData>
    <row r="1" spans="1:7" ht="17.25" thickBot="1" x14ac:dyDescent="0.65">
      <c r="B1" t="s">
        <v>8</v>
      </c>
      <c r="C1" s="9" t="s">
        <v>9</v>
      </c>
    </row>
    <row r="2" spans="1:7" ht="16.899999999999999" customHeight="1" thickBot="1" x14ac:dyDescent="0.65">
      <c r="A2" s="55" t="s">
        <v>12</v>
      </c>
      <c r="B2" s="56" t="s">
        <v>4</v>
      </c>
      <c r="C2" s="56" t="s">
        <v>3</v>
      </c>
      <c r="D2" s="56" t="s">
        <v>0</v>
      </c>
      <c r="E2" s="56" t="s">
        <v>1</v>
      </c>
      <c r="F2" s="56" t="s">
        <v>2</v>
      </c>
      <c r="G2" s="57" t="s">
        <v>164</v>
      </c>
    </row>
    <row r="3" spans="1:7" ht="16.899999999999999" customHeight="1" x14ac:dyDescent="0.6">
      <c r="A3" s="94" t="s">
        <v>10</v>
      </c>
      <c r="B3" s="62">
        <v>2022011</v>
      </c>
      <c r="C3" s="62" t="s">
        <v>5</v>
      </c>
      <c r="D3" s="62">
        <v>45</v>
      </c>
      <c r="E3" s="62">
        <v>90</v>
      </c>
      <c r="F3" s="62">
        <v>90</v>
      </c>
      <c r="G3" s="63">
        <f>AVERAGE(D3:F3)</f>
        <v>75</v>
      </c>
    </row>
    <row r="4" spans="1:7" x14ac:dyDescent="0.6">
      <c r="A4" s="93"/>
      <c r="B4" s="29">
        <v>2022012</v>
      </c>
      <c r="C4" s="29" t="s">
        <v>6</v>
      </c>
      <c r="D4" s="29">
        <v>55</v>
      </c>
      <c r="E4" s="29">
        <v>55</v>
      </c>
      <c r="F4" s="29">
        <v>45</v>
      </c>
      <c r="G4" s="52">
        <f t="shared" ref="G4:G11" si="0">AVERAGE(D4:F4)</f>
        <v>51.666666666666664</v>
      </c>
    </row>
    <row r="5" spans="1:7" ht="17.25" thickBot="1" x14ac:dyDescent="0.65">
      <c r="A5" s="95"/>
      <c r="B5" s="53">
        <v>2022013</v>
      </c>
      <c r="C5" s="53" t="s">
        <v>7</v>
      </c>
      <c r="D5" s="53">
        <v>90</v>
      </c>
      <c r="E5" s="53">
        <v>35</v>
      </c>
      <c r="F5" s="53">
        <v>35</v>
      </c>
      <c r="G5" s="54">
        <f t="shared" si="0"/>
        <v>53.333333333333336</v>
      </c>
    </row>
    <row r="6" spans="1:7" ht="16.899999999999999" customHeight="1" x14ac:dyDescent="0.6">
      <c r="A6" s="93" t="s">
        <v>11</v>
      </c>
      <c r="B6" s="60">
        <v>2022013</v>
      </c>
      <c r="C6" s="60" t="s">
        <v>5</v>
      </c>
      <c r="D6" s="60">
        <v>55</v>
      </c>
      <c r="E6" s="60">
        <v>80</v>
      </c>
      <c r="F6" s="60">
        <v>65</v>
      </c>
      <c r="G6" s="61">
        <f t="shared" si="0"/>
        <v>66.666666666666671</v>
      </c>
    </row>
    <row r="7" spans="1:7" x14ac:dyDescent="0.6">
      <c r="A7" s="93"/>
      <c r="B7" s="29">
        <v>2022011</v>
      </c>
      <c r="C7" s="29" t="s">
        <v>6</v>
      </c>
      <c r="D7" s="29">
        <v>95</v>
      </c>
      <c r="E7" s="29">
        <v>75</v>
      </c>
      <c r="F7" s="29">
        <v>80</v>
      </c>
      <c r="G7" s="52">
        <f t="shared" si="0"/>
        <v>83.333333333333329</v>
      </c>
    </row>
    <row r="8" spans="1:7" ht="17.25" thickBot="1" x14ac:dyDescent="0.65">
      <c r="A8" s="93"/>
      <c r="B8" s="58">
        <v>2022012</v>
      </c>
      <c r="C8" s="58" t="s">
        <v>7</v>
      </c>
      <c r="D8" s="58">
        <v>30</v>
      </c>
      <c r="E8" s="58">
        <v>55</v>
      </c>
      <c r="F8" s="58">
        <v>95</v>
      </c>
      <c r="G8" s="59">
        <f t="shared" si="0"/>
        <v>60</v>
      </c>
    </row>
    <row r="9" spans="1:7" x14ac:dyDescent="0.6">
      <c r="A9" s="96" t="s">
        <v>165</v>
      </c>
      <c r="B9" s="62">
        <v>2022013</v>
      </c>
      <c r="C9" s="62" t="s">
        <v>5</v>
      </c>
      <c r="D9" s="62">
        <f>AVERAGE(D3,D6)</f>
        <v>50</v>
      </c>
      <c r="E9" s="62">
        <f t="shared" ref="E9:F9" si="1">AVERAGE(E3,E6)</f>
        <v>85</v>
      </c>
      <c r="F9" s="62">
        <f t="shared" si="1"/>
        <v>77.5</v>
      </c>
      <c r="G9" s="63">
        <f t="shared" si="0"/>
        <v>70.833333333333329</v>
      </c>
    </row>
    <row r="10" spans="1:7" x14ac:dyDescent="0.6">
      <c r="A10" s="97"/>
      <c r="B10" s="29">
        <v>2022011</v>
      </c>
      <c r="C10" s="29" t="s">
        <v>6</v>
      </c>
      <c r="D10" s="29">
        <f t="shared" ref="D10:F11" si="2">AVERAGE(D4,D7)</f>
        <v>75</v>
      </c>
      <c r="E10" s="29">
        <f t="shared" si="2"/>
        <v>65</v>
      </c>
      <c r="F10" s="29">
        <f t="shared" si="2"/>
        <v>62.5</v>
      </c>
      <c r="G10" s="52">
        <f t="shared" si="0"/>
        <v>67.5</v>
      </c>
    </row>
    <row r="11" spans="1:7" ht="17.25" thickBot="1" x14ac:dyDescent="0.65">
      <c r="A11" s="98"/>
      <c r="B11" s="53">
        <v>2022012</v>
      </c>
      <c r="C11" s="53" t="s">
        <v>7</v>
      </c>
      <c r="D11" s="53">
        <f t="shared" si="2"/>
        <v>60</v>
      </c>
      <c r="E11" s="53">
        <f t="shared" si="2"/>
        <v>45</v>
      </c>
      <c r="F11" s="53">
        <f t="shared" si="2"/>
        <v>65</v>
      </c>
      <c r="G11" s="54">
        <f t="shared" si="0"/>
        <v>56.666666666666664</v>
      </c>
    </row>
  </sheetData>
  <dataConsolidate function="average"/>
  <mergeCells count="3">
    <mergeCell ref="A6:A8"/>
    <mergeCell ref="A3:A5"/>
    <mergeCell ref="A9:A11"/>
  </mergeCells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0"/>
  <sheetViews>
    <sheetView workbookViewId="0">
      <selection activeCell="B3" sqref="B3"/>
    </sheetView>
  </sheetViews>
  <sheetFormatPr defaultRowHeight="16.899999999999999" x14ac:dyDescent="0.6"/>
  <cols>
    <col min="1" max="1" width="10.75" bestFit="1" customWidth="1"/>
    <col min="2" max="2" width="13.375" bestFit="1" customWidth="1"/>
    <col min="3" max="3" width="11.3125" bestFit="1" customWidth="1"/>
    <col min="8" max="8" width="10.125" customWidth="1"/>
  </cols>
  <sheetData>
    <row r="1" spans="1:5" ht="19.149999999999999" x14ac:dyDescent="0.6">
      <c r="A1" s="92" t="s">
        <v>166</v>
      </c>
      <c r="B1" s="92"/>
      <c r="C1" s="92"/>
    </row>
    <row r="2" spans="1:5" x14ac:dyDescent="0.6">
      <c r="D2" s="4"/>
      <c r="E2" s="4"/>
    </row>
    <row r="3" spans="1:5" x14ac:dyDescent="0.6">
      <c r="A3" s="66"/>
      <c r="B3" s="78" t="s">
        <v>178</v>
      </c>
      <c r="C3" s="67">
        <v>1298.26</v>
      </c>
      <c r="E3" s="13"/>
    </row>
    <row r="4" spans="1:5" x14ac:dyDescent="0.6">
      <c r="A4" s="79" t="s">
        <v>162</v>
      </c>
      <c r="B4" s="80" t="s">
        <v>168</v>
      </c>
      <c r="C4" s="79" t="s">
        <v>167</v>
      </c>
      <c r="E4" s="13"/>
    </row>
    <row r="5" spans="1:5" x14ac:dyDescent="0.6">
      <c r="A5" s="64">
        <v>1</v>
      </c>
      <c r="B5" s="33">
        <v>1719900</v>
      </c>
      <c r="C5" s="65"/>
      <c r="E5" s="13"/>
    </row>
    <row r="6" spans="1:5" x14ac:dyDescent="0.6">
      <c r="A6" s="64">
        <v>2</v>
      </c>
      <c r="B6" s="33">
        <v>1632800</v>
      </c>
      <c r="C6" s="65"/>
      <c r="E6" s="13"/>
    </row>
    <row r="7" spans="1:5" x14ac:dyDescent="0.6">
      <c r="A7" s="64">
        <v>3</v>
      </c>
      <c r="B7" s="33">
        <v>1861600</v>
      </c>
      <c r="C7" s="65"/>
      <c r="E7" s="13"/>
    </row>
    <row r="8" spans="1:5" x14ac:dyDescent="0.6">
      <c r="A8" s="64">
        <v>4</v>
      </c>
      <c r="B8" s="33">
        <v>1723800</v>
      </c>
      <c r="C8" s="65"/>
      <c r="E8" s="13"/>
    </row>
    <row r="9" spans="1:5" x14ac:dyDescent="0.6">
      <c r="A9" s="64">
        <v>5</v>
      </c>
      <c r="B9" s="33">
        <v>1986400</v>
      </c>
      <c r="C9" s="65"/>
    </row>
    <row r="10" spans="1:5" x14ac:dyDescent="0.6">
      <c r="A10" s="64">
        <v>6</v>
      </c>
      <c r="B10" s="33">
        <v>2320500</v>
      </c>
      <c r="C10" s="65"/>
    </row>
  </sheetData>
  <mergeCells count="1">
    <mergeCell ref="A1:C1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9"/>
  <sheetViews>
    <sheetView zoomScaleNormal="100" workbookViewId="0">
      <selection activeCell="I31" sqref="I31"/>
    </sheetView>
  </sheetViews>
  <sheetFormatPr defaultRowHeight="16.899999999999999" x14ac:dyDescent="0.6"/>
  <cols>
    <col min="4" max="4" width="10.4375" bestFit="1" customWidth="1"/>
  </cols>
  <sheetData>
    <row r="1" spans="1:4" x14ac:dyDescent="0.6">
      <c r="A1" t="s">
        <v>171</v>
      </c>
    </row>
    <row r="3" spans="1:4" x14ac:dyDescent="0.6">
      <c r="A3" s="29"/>
      <c r="B3" s="29" t="s">
        <v>174</v>
      </c>
      <c r="C3" s="29" t="s">
        <v>172</v>
      </c>
      <c r="D3" s="29" t="s">
        <v>173</v>
      </c>
    </row>
    <row r="4" spans="1:4" x14ac:dyDescent="0.6">
      <c r="A4" s="68">
        <v>1</v>
      </c>
      <c r="B4" s="29">
        <v>65.3</v>
      </c>
      <c r="C4" s="69">
        <v>4526</v>
      </c>
      <c r="D4" s="69">
        <v>2418</v>
      </c>
    </row>
    <row r="5" spans="1:4" x14ac:dyDescent="0.6">
      <c r="A5" s="68">
        <v>2</v>
      </c>
      <c r="B5" s="29">
        <v>68.7</v>
      </c>
      <c r="C5" s="69">
        <v>4315</v>
      </c>
      <c r="D5" s="69">
        <v>2311</v>
      </c>
    </row>
    <row r="6" spans="1:4" x14ac:dyDescent="0.6">
      <c r="A6" s="68">
        <v>3</v>
      </c>
      <c r="B6" s="29">
        <v>59.4</v>
      </c>
      <c r="C6" s="69">
        <v>3966</v>
      </c>
      <c r="D6" s="69">
        <v>2156</v>
      </c>
    </row>
    <row r="7" spans="1:4" x14ac:dyDescent="0.6">
      <c r="A7" s="68">
        <v>4</v>
      </c>
      <c r="B7" s="29">
        <v>48.1</v>
      </c>
      <c r="C7" s="69">
        <v>2550</v>
      </c>
      <c r="D7" s="69">
        <v>1722</v>
      </c>
    </row>
    <row r="8" spans="1:4" x14ac:dyDescent="0.6">
      <c r="A8" s="68">
        <v>5</v>
      </c>
      <c r="B8" s="29">
        <v>50.3</v>
      </c>
      <c r="C8" s="69">
        <v>2639</v>
      </c>
      <c r="D8" s="69">
        <v>1731</v>
      </c>
    </row>
    <row r="9" spans="1:4" x14ac:dyDescent="0.6">
      <c r="A9" s="68">
        <v>6</v>
      </c>
      <c r="B9" s="29">
        <v>66.5</v>
      </c>
      <c r="C9" s="69">
        <v>3562</v>
      </c>
      <c r="D9" s="69">
        <v>2112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기풍쌤</cp:lastModifiedBy>
  <cp:lastPrinted>2020-06-27T09:24:11Z</cp:lastPrinted>
  <dcterms:created xsi:type="dcterms:W3CDTF">2011-08-10T07:46:52Z</dcterms:created>
  <dcterms:modified xsi:type="dcterms:W3CDTF">2022-07-08T01:46:22Z</dcterms:modified>
</cp:coreProperties>
</file>