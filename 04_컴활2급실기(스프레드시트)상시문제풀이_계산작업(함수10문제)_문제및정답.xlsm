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4_컴활2급실기(스프레드시트)상시문제풀이_계산작업(함수10문제)\"/>
    </mc:Choice>
  </mc:AlternateContent>
  <xr:revisionPtr revIDLastSave="0" documentId="13_ncr:1_{C83F39E5-A91A-4ACC-B265-483368CA44D3}" xr6:coauthVersionLast="47" xr6:coauthVersionMax="47" xr10:uidLastSave="{00000000-0000-0000-0000-000000000000}"/>
  <bookViews>
    <workbookView xWindow="-60" yWindow="1695" windowWidth="14250" windowHeight="8145" tabRatio="844" activeTab="1" xr2:uid="{00000000-000D-0000-FFFF-FFFF00000000}"/>
  </bookViews>
  <sheets>
    <sheet name="계산작업1" sheetId="5" r:id="rId1"/>
    <sheet name="계산작업2" sheetId="6" r:id="rId2"/>
    <sheet name="계산작업1_정답" sheetId="8" r:id="rId3"/>
    <sheet name="계산작업2_정답" sheetId="7" r:id="rId4"/>
  </sheets>
  <definedNames>
    <definedName name="배점" localSheetId="2">#REF!</definedName>
    <definedName name="배점" localSheetId="3">#REF!</definedName>
    <definedName name="배점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1학기성적표" name="1학기성적표" connection="1학기성적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6" l="1"/>
  <c r="I26" i="6"/>
  <c r="I27" i="6"/>
  <c r="I28" i="6"/>
  <c r="I29" i="6"/>
  <c r="I30" i="6"/>
  <c r="I31" i="6"/>
  <c r="I24" i="6"/>
  <c r="D31" i="6"/>
  <c r="D15" i="6"/>
  <c r="D16" i="6"/>
  <c r="D17" i="6"/>
  <c r="D18" i="6"/>
  <c r="D19" i="6"/>
  <c r="D20" i="6"/>
  <c r="D14" i="6"/>
  <c r="I11" i="6"/>
  <c r="D4" i="6"/>
  <c r="D5" i="6"/>
  <c r="D6" i="6"/>
  <c r="D7" i="6"/>
  <c r="D8" i="6"/>
  <c r="D9" i="6"/>
  <c r="D10" i="6"/>
  <c r="D3" i="6"/>
  <c r="K30" i="5"/>
  <c r="K31" i="5"/>
  <c r="K32" i="5"/>
  <c r="K33" i="5"/>
  <c r="K34" i="5"/>
  <c r="K35" i="5"/>
  <c r="K36" i="5"/>
  <c r="K37" i="5"/>
  <c r="K38" i="5"/>
  <c r="K29" i="5"/>
  <c r="E39" i="5"/>
  <c r="N16" i="5"/>
  <c r="N17" i="5"/>
  <c r="N18" i="5"/>
  <c r="N19" i="5"/>
  <c r="N20" i="5"/>
  <c r="N21" i="5"/>
  <c r="N22" i="5"/>
  <c r="N23" i="5"/>
  <c r="N24" i="5"/>
  <c r="N15" i="5"/>
  <c r="E25" i="5"/>
  <c r="D4" i="5"/>
  <c r="D5" i="5"/>
  <c r="D6" i="5"/>
  <c r="D7" i="5"/>
  <c r="D8" i="5"/>
  <c r="D9" i="5"/>
  <c r="D10" i="5"/>
  <c r="D11" i="5"/>
  <c r="D12" i="5"/>
  <c r="D3" i="5"/>
  <c r="E25" i="8"/>
  <c r="I11" i="7"/>
  <c r="D31" i="7" l="1"/>
  <c r="K38" i="8" l="1"/>
  <c r="E38" i="8"/>
  <c r="K37" i="8"/>
  <c r="E37" i="8"/>
  <c r="K36" i="8"/>
  <c r="E36" i="8"/>
  <c r="K35" i="8"/>
  <c r="E35" i="8"/>
  <c r="K34" i="8"/>
  <c r="E34" i="8"/>
  <c r="K33" i="8"/>
  <c r="E33" i="8"/>
  <c r="K32" i="8"/>
  <c r="E32" i="8"/>
  <c r="K31" i="8"/>
  <c r="E31" i="8"/>
  <c r="K30" i="8"/>
  <c r="E30" i="8"/>
  <c r="K29" i="8"/>
  <c r="E29" i="8"/>
  <c r="N24" i="8"/>
  <c r="N23" i="8"/>
  <c r="N22" i="8"/>
  <c r="N21" i="8"/>
  <c r="N20" i="8"/>
  <c r="N19" i="8"/>
  <c r="N18" i="8"/>
  <c r="N17" i="8"/>
  <c r="N16" i="8"/>
  <c r="N15" i="8"/>
  <c r="D12" i="8"/>
  <c r="D11" i="8"/>
  <c r="D10" i="8"/>
  <c r="D9" i="8"/>
  <c r="D8" i="8"/>
  <c r="D7" i="8"/>
  <c r="D6" i="8"/>
  <c r="D5" i="8"/>
  <c r="D4" i="8"/>
  <c r="D3" i="8"/>
  <c r="I31" i="7"/>
  <c r="I30" i="7"/>
  <c r="I29" i="7"/>
  <c r="I28" i="7"/>
  <c r="I27" i="7"/>
  <c r="I26" i="7"/>
  <c r="I25" i="7"/>
  <c r="I24" i="7"/>
  <c r="D20" i="7"/>
  <c r="D19" i="7"/>
  <c r="D18" i="7"/>
  <c r="D17" i="7"/>
  <c r="D16" i="7"/>
  <c r="D15" i="7"/>
  <c r="D14" i="7"/>
  <c r="D10" i="7"/>
  <c r="D9" i="7"/>
  <c r="D8" i="7"/>
  <c r="D7" i="7"/>
  <c r="D6" i="7"/>
  <c r="D5" i="7"/>
  <c r="D4" i="7"/>
  <c r="D3" i="7"/>
  <c r="E39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학기성적표" type="103" refreshedVersion="6" minRefreshableVersion="5">
    <extLst>
      <ext xmlns:x15="http://schemas.microsoft.com/office/spreadsheetml/2010/11/main" uri="{DE250136-89BD-433C-8126-D09CA5730AF9}">
        <x15:connection id="1학기성적표" autoDelete="1">
          <x15:textPr codePage="65001" sourceFile="C:\Users\missi\Documents\00_유튜브 강의\04_컴활2급실기\01_기출문제 시리즈\21_2022_상시 3회\1학기성적표.txt" space="1" consecutive="1">
            <textFields count="6">
              <textField/>
              <textField/>
              <textField/>
              <textField/>
              <textField/>
              <textField type="skip"/>
            </textFields>
          </x15:textPr>
          <x15:modelTextPr headers="1"/>
        </x15:connection>
      </ext>
    </extLst>
  </connection>
  <connection id="2" xr16:uid="{00000000-0015-0000-FFFF-FFFF01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<sst xmlns="http://schemas.openxmlformats.org/spreadsheetml/2006/main" count="504" uniqueCount="218">
  <si>
    <t>[표1]</t>
    <phoneticPr fontId="2" type="noConversion"/>
  </si>
  <si>
    <t>접수번호</t>
    <phoneticPr fontId="2" type="noConversion"/>
  </si>
  <si>
    <t>출발지</t>
    <phoneticPr fontId="2" type="noConversion"/>
  </si>
  <si>
    <t>도착지</t>
    <phoneticPr fontId="2" type="noConversion"/>
  </si>
  <si>
    <t>배달비</t>
    <phoneticPr fontId="2" type="noConversion"/>
  </si>
  <si>
    <t>[배달비]</t>
    <phoneticPr fontId="2" type="noConversion"/>
  </si>
  <si>
    <t>도착지</t>
    <phoneticPr fontId="2" type="noConversion"/>
  </si>
  <si>
    <t>대전</t>
  </si>
  <si>
    <t>대전</t>
    <phoneticPr fontId="2" type="noConversion"/>
  </si>
  <si>
    <t>경주</t>
    <phoneticPr fontId="2" type="noConversion"/>
  </si>
  <si>
    <t>부산</t>
    <phoneticPr fontId="2" type="noConversion"/>
  </si>
  <si>
    <t>서울</t>
    <phoneticPr fontId="2" type="noConversion"/>
  </si>
  <si>
    <t>DB-001</t>
    <phoneticPr fontId="2" type="noConversion"/>
  </si>
  <si>
    <t>DB-002</t>
  </si>
  <si>
    <t>DB-003</t>
  </si>
  <si>
    <t>DB-004</t>
  </si>
  <si>
    <t>DB-005</t>
  </si>
  <si>
    <t>DB-006</t>
  </si>
  <si>
    <t>DB-007</t>
  </si>
  <si>
    <t>DB-008</t>
  </si>
  <si>
    <t>DB-009</t>
  </si>
  <si>
    <t>DB-010</t>
  </si>
  <si>
    <t>부산</t>
    <phoneticPr fontId="2" type="noConversion"/>
  </si>
  <si>
    <t>서울</t>
    <phoneticPr fontId="2" type="noConversion"/>
  </si>
  <si>
    <t>부산</t>
    <phoneticPr fontId="2" type="noConversion"/>
  </si>
  <si>
    <t>경주</t>
    <phoneticPr fontId="2" type="noConversion"/>
  </si>
  <si>
    <t>대전</t>
    <phoneticPr fontId="2" type="noConversion"/>
  </si>
  <si>
    <t>대전</t>
    <phoneticPr fontId="2" type="noConversion"/>
  </si>
  <si>
    <t>출발지</t>
    <phoneticPr fontId="2" type="noConversion"/>
  </si>
  <si>
    <t>[표2]</t>
    <phoneticPr fontId="2" type="noConversion"/>
  </si>
  <si>
    <t>사원번호</t>
    <phoneticPr fontId="2" type="noConversion"/>
  </si>
  <si>
    <t>지역</t>
    <phoneticPr fontId="2" type="noConversion"/>
  </si>
  <si>
    <t>부서</t>
    <phoneticPr fontId="2" type="noConversion"/>
  </si>
  <si>
    <t>춘천</t>
    <phoneticPr fontId="2" type="noConversion"/>
  </si>
  <si>
    <t>원주</t>
    <phoneticPr fontId="2" type="noConversion"/>
  </si>
  <si>
    <t>원주</t>
    <phoneticPr fontId="2" type="noConversion"/>
  </si>
  <si>
    <t>생산팀</t>
    <phoneticPr fontId="2" type="noConversion"/>
  </si>
  <si>
    <t>생산팀</t>
    <phoneticPr fontId="2" type="noConversion"/>
  </si>
  <si>
    <t>생산팀</t>
    <phoneticPr fontId="2" type="noConversion"/>
  </si>
  <si>
    <t>영업팀</t>
    <phoneticPr fontId="2" type="noConversion"/>
  </si>
  <si>
    <t>영업팀</t>
    <phoneticPr fontId="2" type="noConversion"/>
  </si>
  <si>
    <t>사원명</t>
    <phoneticPr fontId="2" type="noConversion"/>
  </si>
  <si>
    <t>김민지</t>
    <phoneticPr fontId="2" type="noConversion"/>
  </si>
  <si>
    <t>박소현</t>
    <phoneticPr fontId="2" type="noConversion"/>
  </si>
  <si>
    <t>박채현</t>
    <phoneticPr fontId="2" type="noConversion"/>
  </si>
  <si>
    <t>신도율</t>
    <phoneticPr fontId="2" type="noConversion"/>
  </si>
  <si>
    <t>이건우</t>
    <phoneticPr fontId="2" type="noConversion"/>
  </si>
  <si>
    <t>이건빈</t>
    <phoneticPr fontId="2" type="noConversion"/>
  </si>
  <si>
    <t>전선우</t>
    <phoneticPr fontId="2" type="noConversion"/>
  </si>
  <si>
    <t>정다빈</t>
    <phoneticPr fontId="2" type="noConversion"/>
  </si>
  <si>
    <t>지소은</t>
    <phoneticPr fontId="2" type="noConversion"/>
  </si>
  <si>
    <t>강릉</t>
    <phoneticPr fontId="2" type="noConversion"/>
  </si>
  <si>
    <t>강릉</t>
    <phoneticPr fontId="2" type="noConversion"/>
  </si>
  <si>
    <t>강릉</t>
    <phoneticPr fontId="2" type="noConversion"/>
  </si>
  <si>
    <t>춘천</t>
    <phoneticPr fontId="2" type="noConversion"/>
  </si>
  <si>
    <t>춘천</t>
    <phoneticPr fontId="2" type="noConversion"/>
  </si>
  <si>
    <t>영업팀</t>
    <phoneticPr fontId="2" type="noConversion"/>
  </si>
  <si>
    <t>학번</t>
    <phoneticPr fontId="2" type="noConversion"/>
  </si>
  <si>
    <t>이름</t>
    <phoneticPr fontId="2" type="noConversion"/>
  </si>
  <si>
    <t>수학</t>
    <phoneticPr fontId="2" type="noConversion"/>
  </si>
  <si>
    <t>물리</t>
    <phoneticPr fontId="2" type="noConversion"/>
  </si>
  <si>
    <t>평균점수</t>
    <phoneticPr fontId="2" type="noConversion"/>
  </si>
  <si>
    <t>우명관</t>
    <phoneticPr fontId="2" type="noConversion"/>
  </si>
  <si>
    <t>정재미</t>
    <phoneticPr fontId="2" type="noConversion"/>
  </si>
  <si>
    <t>박미숙</t>
    <phoneticPr fontId="2" type="noConversion"/>
  </si>
  <si>
    <t>김상덕</t>
    <phoneticPr fontId="2" type="noConversion"/>
  </si>
  <si>
    <t>김우영</t>
    <phoneticPr fontId="2" type="noConversion"/>
  </si>
  <si>
    <t>조은희</t>
    <phoneticPr fontId="2" type="noConversion"/>
  </si>
  <si>
    <t>김금선</t>
    <phoneticPr fontId="2" type="noConversion"/>
  </si>
  <si>
    <t>조병철</t>
    <phoneticPr fontId="2" type="noConversion"/>
  </si>
  <si>
    <t>홍정남</t>
    <phoneticPr fontId="2" type="noConversion"/>
  </si>
  <si>
    <t>홍재근</t>
    <phoneticPr fontId="2" type="noConversion"/>
  </si>
  <si>
    <t>수학, 물리 모두 70점 이상이면서 평균점수가 평균 이상인 개수</t>
    <phoneticPr fontId="2" type="noConversion"/>
  </si>
  <si>
    <t>승진점수</t>
    <phoneticPr fontId="2" type="noConversion"/>
  </si>
  <si>
    <t>결과</t>
    <phoneticPr fontId="2" type="noConversion"/>
  </si>
  <si>
    <t>교양</t>
    <phoneticPr fontId="2" type="noConversion"/>
  </si>
  <si>
    <t>메일</t>
    <phoneticPr fontId="2" type="noConversion"/>
  </si>
  <si>
    <t>장현진</t>
    <phoneticPr fontId="2" type="noConversion"/>
  </si>
  <si>
    <t>011-3698-5214</t>
    <phoneticPr fontId="2" type="noConversion"/>
  </si>
  <si>
    <t>신은희</t>
    <phoneticPr fontId="2" type="noConversion"/>
  </si>
  <si>
    <t>011-3216-5498</t>
    <phoneticPr fontId="2" type="noConversion"/>
  </si>
  <si>
    <t>전화번호</t>
    <phoneticPr fontId="2" type="noConversion"/>
  </si>
  <si>
    <t>아이디</t>
    <phoneticPr fontId="2" type="noConversion"/>
  </si>
  <si>
    <t>김만기</t>
    <phoneticPr fontId="2" type="noConversion"/>
  </si>
  <si>
    <t>011-6269-5549</t>
    <phoneticPr fontId="2" type="noConversion"/>
  </si>
  <si>
    <t>김지현</t>
    <phoneticPr fontId="2" type="noConversion"/>
  </si>
  <si>
    <t>011-3774-9902</t>
    <phoneticPr fontId="2" type="noConversion"/>
  </si>
  <si>
    <t>조병철</t>
    <phoneticPr fontId="2" type="noConversion"/>
  </si>
  <si>
    <t>011-2252-0898</t>
    <phoneticPr fontId="2" type="noConversion"/>
  </si>
  <si>
    <t>장성혁</t>
    <phoneticPr fontId="2" type="noConversion"/>
  </si>
  <si>
    <t>011-3744-9001</t>
    <phoneticPr fontId="2" type="noConversion"/>
  </si>
  <si>
    <t>홍정남</t>
    <phoneticPr fontId="2" type="noConversion"/>
  </si>
  <si>
    <t>011-1234-7894</t>
    <phoneticPr fontId="2" type="noConversion"/>
  </si>
  <si>
    <t>김금선</t>
    <phoneticPr fontId="2" type="noConversion"/>
  </si>
  <si>
    <t>011-1478-5236</t>
    <phoneticPr fontId="2" type="noConversion"/>
  </si>
  <si>
    <t>missioncc@gipoong.com</t>
    <phoneticPr fontId="2" type="noConversion"/>
  </si>
  <si>
    <t>yiwonki0179@gipoong.com</t>
    <phoneticPr fontId="2" type="noConversion"/>
  </si>
  <si>
    <t>crocodile0802@gipoong.com</t>
    <phoneticPr fontId="2" type="noConversion"/>
  </si>
  <si>
    <t>angelgiraffe@gipoong.com</t>
    <phoneticPr fontId="2" type="noConversion"/>
  </si>
  <si>
    <t>dolphinlove@gipoong.com</t>
    <phoneticPr fontId="2" type="noConversion"/>
  </si>
  <si>
    <t>supersonnylove@gipoong.com</t>
    <phoneticPr fontId="2" type="noConversion"/>
  </si>
  <si>
    <t>yiwonki@gipoong.com</t>
    <phoneticPr fontId="2" type="noConversion"/>
  </si>
  <si>
    <t>mission@gipoong.com</t>
    <phoneticPr fontId="2" type="noConversion"/>
  </si>
  <si>
    <t>김상덕</t>
    <phoneticPr fontId="2" type="noConversion"/>
  </si>
  <si>
    <t>정재미</t>
    <phoneticPr fontId="2" type="noConversion"/>
  </si>
  <si>
    <t>011-2563-1489</t>
    <phoneticPr fontId="2" type="noConversion"/>
  </si>
  <si>
    <t>011-3214-6549</t>
    <phoneticPr fontId="2" type="noConversion"/>
  </si>
  <si>
    <t>lionking123@gipoong.com</t>
    <phoneticPr fontId="2" type="noConversion"/>
  </si>
  <si>
    <t>crodcdiledundy@gipoong.com</t>
    <phoneticPr fontId="2" type="noConversion"/>
  </si>
  <si>
    <t>전공</t>
    <phoneticPr fontId="2" type="noConversion"/>
  </si>
  <si>
    <t>[표3]</t>
    <phoneticPr fontId="2" type="noConversion"/>
  </si>
  <si>
    <t>[표4]</t>
    <phoneticPr fontId="2" type="noConversion"/>
  </si>
  <si>
    <t>[표5]</t>
    <phoneticPr fontId="2" type="noConversion"/>
  </si>
  <si>
    <t>응시번호</t>
    <phoneticPr fontId="2" type="noConversion"/>
  </si>
  <si>
    <t>GP-001</t>
    <phoneticPr fontId="2" type="noConversion"/>
  </si>
  <si>
    <t>GP-002</t>
  </si>
  <si>
    <t>GP-003</t>
  </si>
  <si>
    <t>GP-004</t>
  </si>
  <si>
    <t>GP-005</t>
  </si>
  <si>
    <t>GP-006</t>
  </si>
  <si>
    <t>GP-007</t>
  </si>
  <si>
    <t>GP-008</t>
  </si>
  <si>
    <t>GP-009</t>
  </si>
  <si>
    <t>GP-010</t>
  </si>
  <si>
    <t>평균</t>
    <phoneticPr fontId="2" type="noConversion"/>
  </si>
  <si>
    <t>[표1]</t>
    <phoneticPr fontId="2" type="noConversion"/>
  </si>
  <si>
    <t>건물</t>
    <phoneticPr fontId="2" type="noConversion"/>
  </si>
  <si>
    <t>면적</t>
    <phoneticPr fontId="2" type="noConversion"/>
  </si>
  <si>
    <t>2월전기량</t>
    <phoneticPr fontId="2" type="noConversion"/>
  </si>
  <si>
    <t>3월전기량</t>
    <phoneticPr fontId="2" type="noConversion"/>
  </si>
  <si>
    <t>할인량</t>
    <phoneticPr fontId="2" type="noConversion"/>
  </si>
  <si>
    <t>전월차전기량</t>
    <phoneticPr fontId="2" type="noConversion"/>
  </si>
  <si>
    <t>할인율</t>
    <phoneticPr fontId="2" type="noConversion"/>
  </si>
  <si>
    <t>이상</t>
    <phoneticPr fontId="2" type="noConversion"/>
  </si>
  <si>
    <t>수수료</t>
    <phoneticPr fontId="2" type="noConversion"/>
  </si>
  <si>
    <t>춘천시</t>
    <phoneticPr fontId="2" type="noConversion"/>
  </si>
  <si>
    <t>홍천군</t>
    <phoneticPr fontId="2" type="noConversion"/>
  </si>
  <si>
    <t>철원군</t>
    <phoneticPr fontId="2" type="noConversion"/>
  </si>
  <si>
    <t>화천군</t>
    <phoneticPr fontId="2" type="noConversion"/>
  </si>
  <si>
    <t>양구군</t>
    <phoneticPr fontId="2" type="noConversion"/>
  </si>
  <si>
    <t>인제군</t>
    <phoneticPr fontId="2" type="noConversion"/>
  </si>
  <si>
    <t>원주시</t>
    <phoneticPr fontId="2" type="noConversion"/>
  </si>
  <si>
    <t>강릉시</t>
    <phoneticPr fontId="2" type="noConversion"/>
  </si>
  <si>
    <t>도시명</t>
    <phoneticPr fontId="2" type="noConversion"/>
  </si>
  <si>
    <t>오염물질</t>
    <phoneticPr fontId="2" type="noConversion"/>
  </si>
  <si>
    <t>미세먼지</t>
    <phoneticPr fontId="2" type="noConversion"/>
  </si>
  <si>
    <t>미세먼지</t>
    <phoneticPr fontId="2" type="noConversion"/>
  </si>
  <si>
    <t>오존</t>
    <phoneticPr fontId="2" type="noConversion"/>
  </si>
  <si>
    <t>오존</t>
    <phoneticPr fontId="2" type="noConversion"/>
  </si>
  <si>
    <t>초미세먼지</t>
    <phoneticPr fontId="2" type="noConversion"/>
  </si>
  <si>
    <t>지수값</t>
    <phoneticPr fontId="2" type="noConversion"/>
  </si>
  <si>
    <t>오존</t>
    <phoneticPr fontId="2" type="noConversion"/>
  </si>
  <si>
    <t>[표5]</t>
    <phoneticPr fontId="2" type="noConversion"/>
  </si>
  <si>
    <t>등급</t>
    <phoneticPr fontId="2" type="noConversion"/>
  </si>
  <si>
    <t>학교</t>
    <phoneticPr fontId="2" type="noConversion"/>
  </si>
  <si>
    <t>사무실</t>
    <phoneticPr fontId="2" type="noConversion"/>
  </si>
  <si>
    <t>학교</t>
    <phoneticPr fontId="2" type="noConversion"/>
  </si>
  <si>
    <t>학교</t>
    <phoneticPr fontId="2" type="noConversion"/>
  </si>
  <si>
    <t>학교</t>
    <phoneticPr fontId="2" type="noConversion"/>
  </si>
  <si>
    <t>사무실</t>
    <phoneticPr fontId="2" type="noConversion"/>
  </si>
  <si>
    <t>등록번호</t>
    <phoneticPr fontId="2" type="noConversion"/>
  </si>
  <si>
    <t>KP-001</t>
    <phoneticPr fontId="2" type="noConversion"/>
  </si>
  <si>
    <t>KP-002</t>
  </si>
  <si>
    <t>KP-003</t>
  </si>
  <si>
    <t>KP-004</t>
  </si>
  <si>
    <t>KP-005</t>
  </si>
  <si>
    <t>KP-006</t>
  </si>
  <si>
    <t>KP-007</t>
  </si>
  <si>
    <t>KP-008</t>
  </si>
  <si>
    <t>[표3]</t>
    <phoneticPr fontId="2" type="noConversion"/>
  </si>
  <si>
    <t>[표2]</t>
    <phoneticPr fontId="2" type="noConversion"/>
  </si>
  <si>
    <t>지역</t>
    <phoneticPr fontId="2" type="noConversion"/>
  </si>
  <si>
    <t>크기</t>
    <phoneticPr fontId="2" type="noConversion"/>
  </si>
  <si>
    <t>층수</t>
    <phoneticPr fontId="2" type="noConversion"/>
  </si>
  <si>
    <t>월세</t>
    <phoneticPr fontId="2" type="noConversion"/>
  </si>
  <si>
    <t>후평동</t>
    <phoneticPr fontId="2" type="noConversion"/>
  </si>
  <si>
    <t>효자동</t>
    <phoneticPr fontId="2" type="noConversion"/>
  </si>
  <si>
    <t>온의동</t>
    <phoneticPr fontId="2" type="noConversion"/>
  </si>
  <si>
    <t>석사동</t>
    <phoneticPr fontId="2" type="noConversion"/>
  </si>
  <si>
    <t>퇴계동</t>
    <phoneticPr fontId="2" type="noConversion"/>
  </si>
  <si>
    <t>소양동</t>
    <phoneticPr fontId="2" type="noConversion"/>
  </si>
  <si>
    <t>사우동</t>
    <phoneticPr fontId="2" type="noConversion"/>
  </si>
  <si>
    <t>[표4]</t>
    <phoneticPr fontId="2" type="noConversion"/>
  </si>
  <si>
    <t>이름</t>
    <phoneticPr fontId="2" type="noConversion"/>
  </si>
  <si>
    <t>100000이상 200000미만 월세 비율</t>
    <phoneticPr fontId="2" type="noConversion"/>
  </si>
  <si>
    <t>반</t>
    <phoneticPr fontId="2" type="noConversion"/>
  </si>
  <si>
    <t>이봉숙</t>
    <phoneticPr fontId="2" type="noConversion"/>
  </si>
  <si>
    <t>곽복규</t>
    <phoneticPr fontId="2" type="noConversion"/>
  </si>
  <si>
    <t>이미희</t>
    <phoneticPr fontId="2" type="noConversion"/>
  </si>
  <si>
    <t>김익래</t>
    <phoneticPr fontId="2" type="noConversion"/>
  </si>
  <si>
    <t>곽영애</t>
    <phoneticPr fontId="2" type="noConversion"/>
  </si>
  <si>
    <t>곽봉규</t>
    <phoneticPr fontId="2" type="noConversion"/>
  </si>
  <si>
    <t>동호수</t>
    <phoneticPr fontId="2" type="noConversion"/>
  </si>
  <si>
    <t>103-1101</t>
    <phoneticPr fontId="2" type="noConversion"/>
  </si>
  <si>
    <t>103-1102</t>
  </si>
  <si>
    <t>103-1103</t>
  </si>
  <si>
    <t>103-1104</t>
  </si>
  <si>
    <t>103-1105</t>
  </si>
  <si>
    <t>103-1106</t>
  </si>
  <si>
    <t>103-1107</t>
  </si>
  <si>
    <t>열매반</t>
    <phoneticPr fontId="2" type="noConversion"/>
  </si>
  <si>
    <t>잎새반</t>
    <phoneticPr fontId="2" type="noConversion"/>
  </si>
  <si>
    <t>여자</t>
    <phoneticPr fontId="2" type="noConversion"/>
  </si>
  <si>
    <t>여자</t>
    <phoneticPr fontId="2" type="noConversion"/>
  </si>
  <si>
    <t>여자</t>
    <phoneticPr fontId="2" type="noConversion"/>
  </si>
  <si>
    <t>남자</t>
    <phoneticPr fontId="2" type="noConversion"/>
  </si>
  <si>
    <t>남자</t>
    <phoneticPr fontId="2" type="noConversion"/>
  </si>
  <si>
    <t>엑셀</t>
    <phoneticPr fontId="2" type="noConversion"/>
  </si>
  <si>
    <t>지역이 춘천이면서 부서가 영업팀인 승진점수의 합계</t>
    <phoneticPr fontId="2" type="noConversion"/>
  </si>
  <si>
    <t>이메일</t>
    <phoneticPr fontId="2" type="noConversion"/>
  </si>
  <si>
    <t>[할인율표]</t>
    <phoneticPr fontId="2" type="noConversion"/>
  </si>
  <si>
    <t>남자의 엑셀 평균과 여자의 엑셀 평균  차</t>
    <phoneticPr fontId="2" type="noConversion"/>
  </si>
  <si>
    <t>[할인율표]</t>
    <phoneticPr fontId="2" type="noConversion"/>
  </si>
  <si>
    <t>성별</t>
    <phoneticPr fontId="2" type="noConversion"/>
  </si>
  <si>
    <t>지역</t>
    <phoneticPr fontId="2" type="noConversion"/>
  </si>
  <si>
    <t>영업팀</t>
    <phoneticPr fontId="2" type="noConversion"/>
  </si>
  <si>
    <t>부서</t>
    <phoneticPr fontId="2" type="noConversion"/>
  </si>
  <si>
    <t>춘천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</si>
</sst>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0.00_ "/>
    <numFmt numFmtId="178" formatCode="#,##0&quot;w&quot;"/>
    <numFmt numFmtId="179" formatCode="#,##0&quot;~&quot;"/>
    <numFmt numFmtId="180" formatCode="#,##0_);[Red]\(#,##0\)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0"/>
      <name val="Arial"/>
      <family val="2"/>
    </font>
    <font>
      <sz val="9"/>
      <color indexed="8"/>
      <name val="Arial"/>
      <family val="2"/>
    </font>
    <font>
      <sz val="11"/>
      <color indexed="8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9" fillId="0" borderId="0"/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0" applyNumberFormat="1" applyBorder="1">
      <alignment vertical="center"/>
    </xf>
    <xf numFmtId="0" fontId="0" fillId="0" borderId="0" xfId="0" applyAlignment="1">
      <alignment horizontal="left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4" xfId="5" applyFont="1" applyBorder="1" applyAlignment="1" applyProtection="1">
      <alignment vertical="top" wrapText="1" readingOrder="1"/>
      <protection locked="0"/>
    </xf>
    <xf numFmtId="0" fontId="10" fillId="0" borderId="5" xfId="5" applyFont="1" applyBorder="1" applyAlignment="1" applyProtection="1">
      <alignment vertical="top" wrapText="1" readingOrder="1"/>
      <protection locked="0"/>
    </xf>
    <xf numFmtId="0" fontId="4" fillId="0" borderId="0" xfId="0" applyFont="1">
      <alignment vertical="center"/>
    </xf>
    <xf numFmtId="0" fontId="12" fillId="0" borderId="0" xfId="0" applyFont="1">
      <alignment vertical="center"/>
    </xf>
    <xf numFmtId="0" fontId="0" fillId="4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right" vertical="center"/>
    </xf>
    <xf numFmtId="179" fontId="0" fillId="0" borderId="1" xfId="1" applyNumberFormat="1" applyFont="1" applyBorder="1" applyAlignment="1">
      <alignment horizontal="center" vertical="center"/>
    </xf>
    <xf numFmtId="9" fontId="0" fillId="0" borderId="1" xfId="6" applyFont="1" applyBorder="1">
      <alignment vertical="center"/>
    </xf>
    <xf numFmtId="180" fontId="0" fillId="0" borderId="1" xfId="1" applyNumberFormat="1" applyFont="1" applyBorder="1" applyAlignment="1">
      <alignment horizontal="right" vertical="center"/>
    </xf>
    <xf numFmtId="41" fontId="0" fillId="0" borderId="0" xfId="0" applyNumberFormat="1">
      <alignment vertical="center"/>
    </xf>
    <xf numFmtId="0" fontId="11" fillId="0" borderId="1" xfId="5" applyFont="1" applyBorder="1" applyAlignment="1" applyProtection="1">
      <alignment horizontal="center" vertical="top" wrapText="1"/>
      <protection locked="0"/>
    </xf>
    <xf numFmtId="177" fontId="11" fillId="0" borderId="1" xfId="5" applyNumberFormat="1" applyFont="1" applyBorder="1" applyAlignment="1" applyProtection="1">
      <alignment horizontal="center" vertical="top" wrapText="1"/>
      <protection locked="0"/>
    </xf>
    <xf numFmtId="180" fontId="0" fillId="0" borderId="1" xfId="6" applyNumberFormat="1" applyFont="1" applyBorder="1" applyAlignment="1">
      <alignment horizontal="right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textRotation="255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7">
    <cellStyle name="백분율" xfId="6" builtinId="5"/>
    <cellStyle name="쉼표 [0]" xfId="1" builtinId="6"/>
    <cellStyle name="쉼표 [0] 2" xfId="3" xr:uid="{00000000-0005-0000-0000-000002000000}"/>
    <cellStyle name="통화 [0] 2" xfId="4" xr:uid="{00000000-0005-0000-0000-000003000000}"/>
    <cellStyle name="표준" xfId="0" builtinId="0"/>
    <cellStyle name="표준 2" xfId="2" xr:uid="{00000000-0005-0000-0000-000005000000}"/>
    <cellStyle name="표준 3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123826</xdr:colOff>
      <xdr:row>1</xdr:row>
      <xdr:rowOff>57150</xdr:rowOff>
    </xdr:from>
    <xdr:to>
      <xdr:col>18</xdr:col>
      <xdr:colOff>400093</xdr:colOff>
      <xdr:row>14</xdr:row>
      <xdr:rowOff>52408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1826" y="271463"/>
          <a:ext cx="5762667" cy="27813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133349</xdr:colOff>
      <xdr:row>25</xdr:row>
      <xdr:rowOff>9524</xdr:rowOff>
    </xdr:from>
    <xdr:to>
      <xdr:col>23</xdr:col>
      <xdr:colOff>305432</xdr:colOff>
      <xdr:row>49</xdr:row>
      <xdr:rowOff>29784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1162" y="5367337"/>
          <a:ext cx="9492295" cy="51637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123826</xdr:colOff>
      <xdr:row>1</xdr:row>
      <xdr:rowOff>57150</xdr:rowOff>
    </xdr:from>
    <xdr:to>
      <xdr:col>18</xdr:col>
      <xdr:colOff>400093</xdr:colOff>
      <xdr:row>14</xdr:row>
      <xdr:rowOff>52408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9076" y="271463"/>
          <a:ext cx="5762667" cy="278132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41"/>
  <sheetViews>
    <sheetView topLeftCell="C13" zoomScaleNormal="100" workbookViewId="0">
      <selection activeCell="K29" sqref="K29:K38"/>
    </sheetView>
  </sheetViews>
  <sheetFormatPr defaultRowHeight="16.5"/>
  <cols>
    <col min="1" max="5" width="10.5" customWidth="1"/>
    <col min="6" max="6" width="5.25" customWidth="1"/>
    <col min="7" max="8" width="10" bestFit="1" customWidth="1"/>
    <col min="9" max="9" width="9.875" customWidth="1"/>
    <col min="10" max="10" width="11.875" customWidth="1"/>
    <col min="11" max="11" width="9.25" customWidth="1"/>
    <col min="12" max="12" width="13.75" bestFit="1" customWidth="1"/>
    <col min="13" max="13" width="27.25" bestFit="1" customWidth="1"/>
    <col min="14" max="14" width="14.125" bestFit="1" customWidth="1"/>
  </cols>
  <sheetData>
    <row r="1" spans="1:14">
      <c r="A1" t="s">
        <v>0</v>
      </c>
    </row>
    <row r="2" spans="1:14">
      <c r="A2" s="6" t="s">
        <v>1</v>
      </c>
      <c r="B2" s="6" t="s">
        <v>2</v>
      </c>
      <c r="C2" s="6" t="s">
        <v>3</v>
      </c>
      <c r="D2" s="4" t="s">
        <v>4</v>
      </c>
      <c r="G2" t="s">
        <v>5</v>
      </c>
      <c r="H2" s="25" t="s">
        <v>6</v>
      </c>
      <c r="I2" s="25"/>
      <c r="J2" s="25"/>
      <c r="K2" s="25"/>
    </row>
    <row r="3" spans="1:14" ht="16.899999999999999" customHeight="1">
      <c r="A3" s="3" t="s">
        <v>12</v>
      </c>
      <c r="B3" s="3" t="s">
        <v>9</v>
      </c>
      <c r="C3" s="3" t="s">
        <v>27</v>
      </c>
      <c r="D3" s="2">
        <f>IF(C3="부산",VLOOKUP(B3,$G$4:$K$7,MATCH(C3,$H$3:$K$3,0)+1,0)*4/5,VLOOKUP(B3,$G$4:$K$7,MATCH(C3,$H$3:$K$3,0)+1,0))</f>
        <v>5000</v>
      </c>
      <c r="G3" s="3" t="s">
        <v>6</v>
      </c>
      <c r="H3" s="3" t="s">
        <v>7</v>
      </c>
      <c r="I3" s="3" t="s">
        <v>9</v>
      </c>
      <c r="J3" s="3" t="s">
        <v>10</v>
      </c>
      <c r="K3" s="3" t="s">
        <v>11</v>
      </c>
    </row>
    <row r="4" spans="1:14">
      <c r="A4" s="3" t="s">
        <v>13</v>
      </c>
      <c r="B4" s="3" t="s">
        <v>26</v>
      </c>
      <c r="C4" s="3" t="s">
        <v>22</v>
      </c>
      <c r="D4" s="2">
        <f t="shared" ref="D4:D12" si="0">IF(C4="부산",VLOOKUP(B4,$G$4:$K$7,MATCH(C4,$H$3:$K$3,0)+1,0)*4/5,VLOOKUP(B4,$G$4:$K$7,MATCH(C4,$H$3:$K$3,0)+1,0))</f>
        <v>4800</v>
      </c>
      <c r="F4" s="26" t="s">
        <v>28</v>
      </c>
      <c r="G4" s="3" t="s">
        <v>7</v>
      </c>
      <c r="H4" s="8">
        <v>0</v>
      </c>
      <c r="I4" s="9">
        <v>5000</v>
      </c>
      <c r="J4" s="9">
        <v>6000</v>
      </c>
      <c r="K4" s="9">
        <v>10000</v>
      </c>
    </row>
    <row r="5" spans="1:14">
      <c r="A5" s="3" t="s">
        <v>14</v>
      </c>
      <c r="B5" s="3" t="s">
        <v>25</v>
      </c>
      <c r="C5" s="3" t="s">
        <v>23</v>
      </c>
      <c r="D5" s="2">
        <f t="shared" si="0"/>
        <v>7000</v>
      </c>
      <c r="F5" s="26"/>
      <c r="G5" s="3" t="s">
        <v>9</v>
      </c>
      <c r="H5" s="9">
        <v>5000</v>
      </c>
      <c r="I5" s="9">
        <v>0</v>
      </c>
      <c r="J5" s="9">
        <v>3000</v>
      </c>
      <c r="K5" s="9">
        <v>7000</v>
      </c>
    </row>
    <row r="6" spans="1:14">
      <c r="A6" s="3" t="s">
        <v>15</v>
      </c>
      <c r="B6" s="3" t="s">
        <v>8</v>
      </c>
      <c r="C6" s="3" t="s">
        <v>9</v>
      </c>
      <c r="D6" s="2">
        <f t="shared" si="0"/>
        <v>5000</v>
      </c>
      <c r="F6" s="26"/>
      <c r="G6" s="3" t="s">
        <v>10</v>
      </c>
      <c r="H6" s="9">
        <v>6000</v>
      </c>
      <c r="I6" s="9">
        <v>3000</v>
      </c>
      <c r="J6" s="9">
        <v>0</v>
      </c>
      <c r="K6" s="9">
        <v>11000</v>
      </c>
    </row>
    <row r="7" spans="1:14">
      <c r="A7" s="3" t="s">
        <v>16</v>
      </c>
      <c r="B7" s="3" t="s">
        <v>7</v>
      </c>
      <c r="C7" s="3" t="s">
        <v>24</v>
      </c>
      <c r="D7" s="2">
        <f t="shared" si="0"/>
        <v>4800</v>
      </c>
      <c r="F7" s="26"/>
      <c r="G7" s="3" t="s">
        <v>11</v>
      </c>
      <c r="H7" s="9">
        <v>10000</v>
      </c>
      <c r="I7" s="9">
        <v>7000</v>
      </c>
      <c r="J7" s="9">
        <v>11000</v>
      </c>
      <c r="K7" s="9">
        <v>0</v>
      </c>
    </row>
    <row r="8" spans="1:14">
      <c r="A8" s="3" t="s">
        <v>17</v>
      </c>
      <c r="B8" s="3" t="s">
        <v>22</v>
      </c>
      <c r="C8" s="3" t="s">
        <v>7</v>
      </c>
      <c r="D8" s="2">
        <f t="shared" si="0"/>
        <v>6000</v>
      </c>
    </row>
    <row r="9" spans="1:14">
      <c r="A9" s="3" t="s">
        <v>18</v>
      </c>
      <c r="B9" s="3" t="s">
        <v>26</v>
      </c>
      <c r="C9" s="3" t="s">
        <v>22</v>
      </c>
      <c r="D9" s="2">
        <f t="shared" si="0"/>
        <v>4800</v>
      </c>
    </row>
    <row r="10" spans="1:14">
      <c r="A10" s="3" t="s">
        <v>19</v>
      </c>
      <c r="B10" s="3" t="s">
        <v>22</v>
      </c>
      <c r="C10" s="3" t="s">
        <v>23</v>
      </c>
      <c r="D10" s="2">
        <f t="shared" si="0"/>
        <v>11000</v>
      </c>
    </row>
    <row r="11" spans="1:14">
      <c r="A11" s="3" t="s">
        <v>20</v>
      </c>
      <c r="B11" s="3" t="s">
        <v>26</v>
      </c>
      <c r="C11" s="3" t="s">
        <v>25</v>
      </c>
      <c r="D11" s="2">
        <f t="shared" si="0"/>
        <v>5000</v>
      </c>
    </row>
    <row r="12" spans="1:14">
      <c r="A12" s="3" t="s">
        <v>21</v>
      </c>
      <c r="B12" s="3" t="s">
        <v>23</v>
      </c>
      <c r="C12" s="3" t="s">
        <v>8</v>
      </c>
      <c r="D12" s="2">
        <f t="shared" si="0"/>
        <v>10000</v>
      </c>
    </row>
    <row r="13" spans="1:14">
      <c r="K13" t="s">
        <v>110</v>
      </c>
    </row>
    <row r="14" spans="1:14">
      <c r="A14" s="10" t="s">
        <v>29</v>
      </c>
      <c r="K14" s="6" t="s">
        <v>58</v>
      </c>
      <c r="L14" s="6" t="s">
        <v>81</v>
      </c>
      <c r="M14" s="6" t="s">
        <v>209</v>
      </c>
      <c r="N14" s="4" t="s">
        <v>82</v>
      </c>
    </row>
    <row r="15" spans="1:14">
      <c r="A15" s="6" t="s">
        <v>30</v>
      </c>
      <c r="B15" s="6" t="s">
        <v>41</v>
      </c>
      <c r="C15" s="6" t="s">
        <v>31</v>
      </c>
      <c r="D15" s="6" t="s">
        <v>32</v>
      </c>
      <c r="E15" s="6" t="s">
        <v>73</v>
      </c>
      <c r="K15" s="3" t="s">
        <v>103</v>
      </c>
      <c r="L15" s="3" t="s">
        <v>105</v>
      </c>
      <c r="M15" t="s">
        <v>107</v>
      </c>
      <c r="N15" s="1" t="str">
        <f>MID(M15,1,SEARCH("@",M15)-1)</f>
        <v>lionking123</v>
      </c>
    </row>
    <row r="16" spans="1:14">
      <c r="A16" s="3">
        <v>20191732</v>
      </c>
      <c r="B16" s="3" t="s">
        <v>42</v>
      </c>
      <c r="C16" s="3" t="s">
        <v>51</v>
      </c>
      <c r="D16" s="3" t="s">
        <v>36</v>
      </c>
      <c r="E16" s="3">
        <v>42.25</v>
      </c>
      <c r="K16" s="3" t="s">
        <v>104</v>
      </c>
      <c r="L16" s="3" t="s">
        <v>106</v>
      </c>
      <c r="M16" t="s">
        <v>108</v>
      </c>
      <c r="N16" s="1" t="str">
        <f t="shared" ref="N16:N24" si="1">MID(M16,1,SEARCH("@",M16)-1)</f>
        <v>crodcdiledundy</v>
      </c>
    </row>
    <row r="17" spans="1:14">
      <c r="A17" s="3">
        <v>20191733</v>
      </c>
      <c r="B17" s="3" t="s">
        <v>43</v>
      </c>
      <c r="C17" s="3" t="s">
        <v>34</v>
      </c>
      <c r="D17" s="3" t="s">
        <v>39</v>
      </c>
      <c r="E17" s="3">
        <v>83.33</v>
      </c>
      <c r="K17" s="3" t="s">
        <v>83</v>
      </c>
      <c r="L17" s="3" t="s">
        <v>84</v>
      </c>
      <c r="M17" s="1" t="s">
        <v>95</v>
      </c>
      <c r="N17" s="1" t="str">
        <f t="shared" si="1"/>
        <v>missioncc</v>
      </c>
    </row>
    <row r="18" spans="1:14">
      <c r="A18" s="3">
        <v>20191734</v>
      </c>
      <c r="B18" s="3" t="s">
        <v>44</v>
      </c>
      <c r="C18" s="3" t="s">
        <v>52</v>
      </c>
      <c r="D18" s="3" t="s">
        <v>56</v>
      </c>
      <c r="E18" s="3">
        <v>54.12</v>
      </c>
      <c r="K18" s="3" t="s">
        <v>85</v>
      </c>
      <c r="L18" s="3" t="s">
        <v>86</v>
      </c>
      <c r="M18" s="1" t="s">
        <v>96</v>
      </c>
      <c r="N18" s="1" t="str">
        <f t="shared" si="1"/>
        <v>yiwonki0179</v>
      </c>
    </row>
    <row r="19" spans="1:14">
      <c r="A19" s="3">
        <v>20191735</v>
      </c>
      <c r="B19" s="3" t="s">
        <v>45</v>
      </c>
      <c r="C19" s="3" t="s">
        <v>33</v>
      </c>
      <c r="D19" s="3" t="s">
        <v>37</v>
      </c>
      <c r="E19" s="3">
        <v>56.43</v>
      </c>
      <c r="K19" s="3" t="s">
        <v>87</v>
      </c>
      <c r="L19" s="3" t="s">
        <v>88</v>
      </c>
      <c r="M19" s="1" t="s">
        <v>97</v>
      </c>
      <c r="N19" s="1" t="str">
        <f t="shared" si="1"/>
        <v>crocodile0802</v>
      </c>
    </row>
    <row r="20" spans="1:14">
      <c r="A20" s="3">
        <v>20191736</v>
      </c>
      <c r="B20" s="3" t="s">
        <v>46</v>
      </c>
      <c r="C20" s="3" t="s">
        <v>34</v>
      </c>
      <c r="D20" s="3" t="s">
        <v>39</v>
      </c>
      <c r="E20" s="3">
        <v>67.12</v>
      </c>
      <c r="K20" s="3" t="s">
        <v>89</v>
      </c>
      <c r="L20" s="3" t="s">
        <v>90</v>
      </c>
      <c r="M20" s="1" t="s">
        <v>98</v>
      </c>
      <c r="N20" s="1" t="str">
        <f t="shared" si="1"/>
        <v>angelgiraffe</v>
      </c>
    </row>
    <row r="21" spans="1:14">
      <c r="A21" s="3">
        <v>20191737</v>
      </c>
      <c r="B21" s="3" t="s">
        <v>47</v>
      </c>
      <c r="C21" s="3" t="s">
        <v>35</v>
      </c>
      <c r="D21" s="3" t="s">
        <v>40</v>
      </c>
      <c r="E21" s="3">
        <v>88.15</v>
      </c>
      <c r="K21" s="3" t="s">
        <v>91</v>
      </c>
      <c r="L21" s="3" t="s">
        <v>92</v>
      </c>
      <c r="M21" s="1" t="s">
        <v>99</v>
      </c>
      <c r="N21" s="1" t="str">
        <f t="shared" si="1"/>
        <v>dolphinlove</v>
      </c>
    </row>
    <row r="22" spans="1:14">
      <c r="A22" s="3">
        <v>20191738</v>
      </c>
      <c r="B22" s="3" t="s">
        <v>48</v>
      </c>
      <c r="C22" s="3" t="s">
        <v>53</v>
      </c>
      <c r="D22" s="3" t="s">
        <v>38</v>
      </c>
      <c r="E22" s="3">
        <v>91.13</v>
      </c>
      <c r="G22" s="6" t="s">
        <v>214</v>
      </c>
      <c r="H22" s="6" t="s">
        <v>216</v>
      </c>
      <c r="K22" s="3" t="s">
        <v>77</v>
      </c>
      <c r="L22" s="3" t="s">
        <v>78</v>
      </c>
      <c r="M22" s="1" t="s">
        <v>100</v>
      </c>
      <c r="N22" s="1" t="str">
        <f t="shared" si="1"/>
        <v>supersonnylove</v>
      </c>
    </row>
    <row r="23" spans="1:14">
      <c r="A23" s="3">
        <v>20191739</v>
      </c>
      <c r="B23" s="3" t="s">
        <v>49</v>
      </c>
      <c r="C23" s="3" t="s">
        <v>54</v>
      </c>
      <c r="D23" s="3" t="s">
        <v>56</v>
      </c>
      <c r="E23" s="3">
        <v>53.53</v>
      </c>
      <c r="G23" s="3" t="s">
        <v>217</v>
      </c>
      <c r="H23" s="3" t="s">
        <v>215</v>
      </c>
      <c r="K23" s="3" t="s">
        <v>93</v>
      </c>
      <c r="L23" s="3" t="s">
        <v>94</v>
      </c>
      <c r="M23" s="1" t="s">
        <v>101</v>
      </c>
      <c r="N23" s="1" t="str">
        <f t="shared" si="1"/>
        <v>yiwonki</v>
      </c>
    </row>
    <row r="24" spans="1:14">
      <c r="A24" s="3">
        <v>20191740</v>
      </c>
      <c r="B24" s="3" t="s">
        <v>50</v>
      </c>
      <c r="C24" s="3" t="s">
        <v>33</v>
      </c>
      <c r="D24" s="3" t="s">
        <v>40</v>
      </c>
      <c r="E24" s="3">
        <v>75.739999999999995</v>
      </c>
      <c r="K24" s="3" t="s">
        <v>79</v>
      </c>
      <c r="L24" s="3" t="s">
        <v>80</v>
      </c>
      <c r="M24" s="1" t="s">
        <v>102</v>
      </c>
      <c r="N24" s="1" t="str">
        <f t="shared" si="1"/>
        <v>mission</v>
      </c>
    </row>
    <row r="25" spans="1:14">
      <c r="A25" s="27" t="s">
        <v>208</v>
      </c>
      <c r="B25" s="28"/>
      <c r="C25" s="28"/>
      <c r="D25" s="28"/>
      <c r="E25" s="3">
        <f>ROUNDDOWN(DSUM(A15:E24,E15,G22:H23),1)</f>
        <v>129.19999999999999</v>
      </c>
    </row>
    <row r="27" spans="1:14">
      <c r="A27" s="10" t="s">
        <v>111</v>
      </c>
      <c r="G27" s="5" t="s">
        <v>112</v>
      </c>
    </row>
    <row r="28" spans="1:14">
      <c r="A28" s="6" t="s">
        <v>57</v>
      </c>
      <c r="B28" s="6" t="s">
        <v>58</v>
      </c>
      <c r="C28" s="6" t="s">
        <v>59</v>
      </c>
      <c r="D28" s="6" t="s">
        <v>60</v>
      </c>
      <c r="E28" s="6" t="s">
        <v>61</v>
      </c>
      <c r="G28" s="6" t="s">
        <v>113</v>
      </c>
      <c r="H28" s="6" t="s">
        <v>109</v>
      </c>
      <c r="I28" s="6" t="s">
        <v>75</v>
      </c>
      <c r="J28" s="6" t="s">
        <v>124</v>
      </c>
      <c r="K28" s="4" t="s">
        <v>74</v>
      </c>
    </row>
    <row r="29" spans="1:14">
      <c r="A29" s="3">
        <v>202236001</v>
      </c>
      <c r="B29" s="3" t="s">
        <v>62</v>
      </c>
      <c r="C29" s="3">
        <v>90</v>
      </c>
      <c r="D29" s="3">
        <v>65</v>
      </c>
      <c r="E29" s="7">
        <v>77.5</v>
      </c>
      <c r="G29" s="11" t="s">
        <v>114</v>
      </c>
      <c r="H29" s="22">
        <v>813</v>
      </c>
      <c r="I29" s="22">
        <v>900</v>
      </c>
      <c r="J29" s="23">
        <v>839.09999999999991</v>
      </c>
      <c r="K29" s="3" t="str">
        <f>IFERROR(CHOOSE(_xlfn.RANK.EQ(J29,$J$29:$J$38,0),"수석","차석"),"")</f>
        <v>차석</v>
      </c>
    </row>
    <row r="30" spans="1:14">
      <c r="A30" s="3">
        <v>202236002</v>
      </c>
      <c r="B30" s="3" t="s">
        <v>63</v>
      </c>
      <c r="C30" s="3">
        <v>55</v>
      </c>
      <c r="D30" s="3">
        <v>70</v>
      </c>
      <c r="E30" s="7">
        <v>62.5</v>
      </c>
      <c r="G30" s="11" t="s">
        <v>115</v>
      </c>
      <c r="H30" s="22">
        <v>775</v>
      </c>
      <c r="I30" s="22">
        <v>862</v>
      </c>
      <c r="J30" s="23">
        <v>801.09999999999991</v>
      </c>
      <c r="K30" s="3" t="str">
        <f t="shared" ref="K30:K38" si="2">IFERROR(CHOOSE(_xlfn.RANK.EQ(J30,$J$29:$J$38,0),"수석","차석"),"")</f>
        <v/>
      </c>
    </row>
    <row r="31" spans="1:14">
      <c r="A31" s="3">
        <v>202236003</v>
      </c>
      <c r="B31" s="3" t="s">
        <v>64</v>
      </c>
      <c r="C31" s="3">
        <v>75</v>
      </c>
      <c r="D31" s="3">
        <v>75</v>
      </c>
      <c r="E31" s="7">
        <v>75</v>
      </c>
      <c r="G31" s="11" t="s">
        <v>116</v>
      </c>
      <c r="H31" s="22">
        <v>661</v>
      </c>
      <c r="I31" s="22">
        <v>850</v>
      </c>
      <c r="J31" s="23">
        <v>717.7</v>
      </c>
      <c r="K31" s="3" t="str">
        <f t="shared" si="2"/>
        <v/>
      </c>
    </row>
    <row r="32" spans="1:14">
      <c r="A32" s="3">
        <v>202236004</v>
      </c>
      <c r="B32" s="3" t="s">
        <v>65</v>
      </c>
      <c r="C32" s="3">
        <v>70</v>
      </c>
      <c r="D32" s="3">
        <v>100</v>
      </c>
      <c r="E32" s="7">
        <v>85</v>
      </c>
      <c r="G32" s="11" t="s">
        <v>117</v>
      </c>
      <c r="H32" s="22">
        <v>738</v>
      </c>
      <c r="I32" s="22">
        <v>790</v>
      </c>
      <c r="J32" s="23">
        <v>753.6</v>
      </c>
      <c r="K32" s="3" t="str">
        <f t="shared" si="2"/>
        <v/>
      </c>
    </row>
    <row r="33" spans="1:11">
      <c r="A33" s="3">
        <v>202236005</v>
      </c>
      <c r="B33" s="3" t="s">
        <v>66</v>
      </c>
      <c r="C33" s="3">
        <v>75</v>
      </c>
      <c r="D33" s="3">
        <v>50</v>
      </c>
      <c r="E33" s="7">
        <v>62.5</v>
      </c>
      <c r="G33" s="11" t="s">
        <v>118</v>
      </c>
      <c r="H33" s="22">
        <v>760</v>
      </c>
      <c r="I33" s="22">
        <v>950</v>
      </c>
      <c r="J33" s="23">
        <v>817</v>
      </c>
      <c r="K33" s="3" t="str">
        <f t="shared" si="2"/>
        <v/>
      </c>
    </row>
    <row r="34" spans="1:11">
      <c r="A34" s="3">
        <v>202236006</v>
      </c>
      <c r="B34" s="3" t="s">
        <v>67</v>
      </c>
      <c r="C34" s="3">
        <v>85</v>
      </c>
      <c r="D34" s="3">
        <v>45</v>
      </c>
      <c r="E34" s="7">
        <v>65</v>
      </c>
      <c r="G34" s="11" t="s">
        <v>119</v>
      </c>
      <c r="H34" s="22">
        <v>885</v>
      </c>
      <c r="I34" s="22">
        <v>730</v>
      </c>
      <c r="J34" s="23">
        <v>838.5</v>
      </c>
      <c r="K34" s="3" t="str">
        <f t="shared" si="2"/>
        <v/>
      </c>
    </row>
    <row r="35" spans="1:11">
      <c r="A35" s="3">
        <v>202236007</v>
      </c>
      <c r="B35" s="3" t="s">
        <v>68</v>
      </c>
      <c r="C35" s="3">
        <v>60</v>
      </c>
      <c r="D35" s="3">
        <v>80</v>
      </c>
      <c r="E35" s="7">
        <v>70</v>
      </c>
      <c r="G35" s="11" t="s">
        <v>120</v>
      </c>
      <c r="H35" s="22">
        <v>850</v>
      </c>
      <c r="I35" s="22">
        <v>820</v>
      </c>
      <c r="J35" s="23">
        <v>841</v>
      </c>
      <c r="K35" s="3" t="str">
        <f t="shared" si="2"/>
        <v>수석</v>
      </c>
    </row>
    <row r="36" spans="1:11">
      <c r="A36" s="3">
        <v>202236008</v>
      </c>
      <c r="B36" s="3" t="s">
        <v>69</v>
      </c>
      <c r="C36" s="3">
        <v>60</v>
      </c>
      <c r="D36" s="3">
        <v>85</v>
      </c>
      <c r="E36" s="7">
        <v>72.5</v>
      </c>
      <c r="G36" s="11" t="s">
        <v>121</v>
      </c>
      <c r="H36" s="22">
        <v>769</v>
      </c>
      <c r="I36" s="22">
        <v>910</v>
      </c>
      <c r="J36" s="23">
        <v>811.3</v>
      </c>
      <c r="K36" s="3" t="str">
        <f t="shared" si="2"/>
        <v/>
      </c>
    </row>
    <row r="37" spans="1:11">
      <c r="A37" s="3">
        <v>202236009</v>
      </c>
      <c r="B37" s="3" t="s">
        <v>70</v>
      </c>
      <c r="C37" s="3">
        <v>85</v>
      </c>
      <c r="D37" s="3">
        <v>70</v>
      </c>
      <c r="E37" s="7">
        <v>77.5</v>
      </c>
      <c r="G37" s="11" t="s">
        <v>122</v>
      </c>
      <c r="H37" s="22">
        <v>813</v>
      </c>
      <c r="I37" s="22">
        <v>850</v>
      </c>
      <c r="J37" s="23">
        <v>824.09999999999991</v>
      </c>
      <c r="K37" s="3" t="str">
        <f t="shared" si="2"/>
        <v/>
      </c>
    </row>
    <row r="38" spans="1:11">
      <c r="A38" s="3">
        <v>202236010</v>
      </c>
      <c r="B38" s="3" t="s">
        <v>71</v>
      </c>
      <c r="C38" s="3">
        <v>80</v>
      </c>
      <c r="D38" s="3">
        <v>60</v>
      </c>
      <c r="E38" s="7">
        <v>70</v>
      </c>
      <c r="G38" s="11" t="s">
        <v>123</v>
      </c>
      <c r="H38" s="22">
        <v>790</v>
      </c>
      <c r="I38" s="22">
        <v>888</v>
      </c>
      <c r="J38" s="23">
        <v>819.4</v>
      </c>
      <c r="K38" s="3" t="str">
        <f t="shared" si="2"/>
        <v/>
      </c>
    </row>
    <row r="39" spans="1:11">
      <c r="A39" s="29" t="s">
        <v>72</v>
      </c>
      <c r="B39" s="30"/>
      <c r="C39" s="30"/>
      <c r="D39" s="30"/>
      <c r="E39" s="3">
        <f>COUNTIFS(C29:C38,"&gt;=70",D29:D38,"&gt;=70",E29:E38,"&gt;="&amp;AVERAGE(E29:E38))</f>
        <v>3</v>
      </c>
      <c r="I39" s="13"/>
      <c r="J39" s="13"/>
    </row>
    <row r="40" spans="1:11">
      <c r="J40" s="12"/>
    </row>
    <row r="41" spans="1:11">
      <c r="J41" s="12"/>
    </row>
  </sheetData>
  <sortState xmlns:xlrd2="http://schemas.microsoft.com/office/spreadsheetml/2017/richdata2" ref="B3:B12">
    <sortCondition ref="B3:B12"/>
  </sortState>
  <mergeCells count="4">
    <mergeCell ref="H2:K2"/>
    <mergeCell ref="F4:F7"/>
    <mergeCell ref="A25:D25"/>
    <mergeCell ref="A39:D39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31"/>
  <sheetViews>
    <sheetView tabSelected="1" zoomScaleNormal="100" workbookViewId="0">
      <selection activeCell="I19" sqref="I19"/>
    </sheetView>
  </sheetViews>
  <sheetFormatPr defaultRowHeight="16.5"/>
  <cols>
    <col min="1" max="9" width="10.25" customWidth="1"/>
  </cols>
  <sheetData>
    <row r="1" spans="1:10">
      <c r="A1" t="s">
        <v>125</v>
      </c>
      <c r="F1" t="s">
        <v>170</v>
      </c>
    </row>
    <row r="2" spans="1:10">
      <c r="A2" s="6" t="s">
        <v>160</v>
      </c>
      <c r="B2" s="6" t="s">
        <v>126</v>
      </c>
      <c r="C2" s="6" t="s">
        <v>127</v>
      </c>
      <c r="D2" s="4" t="s">
        <v>134</v>
      </c>
      <c r="F2" s="6" t="s">
        <v>171</v>
      </c>
      <c r="G2" s="6" t="s">
        <v>172</v>
      </c>
      <c r="H2" s="6" t="s">
        <v>173</v>
      </c>
      <c r="I2" s="6" t="s">
        <v>174</v>
      </c>
    </row>
    <row r="3" spans="1:10">
      <c r="A3" s="3" t="s">
        <v>161</v>
      </c>
      <c r="B3" s="3" t="s">
        <v>154</v>
      </c>
      <c r="C3" s="3">
        <v>114</v>
      </c>
      <c r="D3" s="2">
        <f>IF(AND(B3="학교",C3&gt;=120),15000,10000)</f>
        <v>10000</v>
      </c>
      <c r="F3" s="3" t="s">
        <v>175</v>
      </c>
      <c r="G3" s="1">
        <v>15</v>
      </c>
      <c r="H3" s="1">
        <v>1</v>
      </c>
      <c r="I3" s="2">
        <v>75000</v>
      </c>
      <c r="J3" s="21"/>
    </row>
    <row r="4" spans="1:10">
      <c r="A4" s="3" t="s">
        <v>162</v>
      </c>
      <c r="B4" s="3" t="s">
        <v>155</v>
      </c>
      <c r="C4" s="3">
        <v>81</v>
      </c>
      <c r="D4" s="2">
        <f t="shared" ref="D4:D10" si="0">IF(AND(B4="학교",C4&gt;=120),15000,10000)</f>
        <v>10000</v>
      </c>
      <c r="F4" s="3" t="s">
        <v>176</v>
      </c>
      <c r="G4" s="1">
        <v>20</v>
      </c>
      <c r="H4" s="1">
        <v>9</v>
      </c>
      <c r="I4" s="2">
        <v>380000</v>
      </c>
      <c r="J4" s="21"/>
    </row>
    <row r="5" spans="1:10">
      <c r="A5" s="3" t="s">
        <v>163</v>
      </c>
      <c r="B5" s="3" t="s">
        <v>156</v>
      </c>
      <c r="C5" s="3">
        <v>150</v>
      </c>
      <c r="D5" s="2">
        <f t="shared" si="0"/>
        <v>15000</v>
      </c>
      <c r="F5" s="3" t="s">
        <v>177</v>
      </c>
      <c r="G5" s="1">
        <v>17</v>
      </c>
      <c r="H5" s="1">
        <v>15</v>
      </c>
      <c r="I5" s="2">
        <v>150000</v>
      </c>
      <c r="J5" s="21"/>
    </row>
    <row r="6" spans="1:10">
      <c r="A6" s="3" t="s">
        <v>164</v>
      </c>
      <c r="B6" s="3" t="s">
        <v>155</v>
      </c>
      <c r="C6" s="3">
        <v>77</v>
      </c>
      <c r="D6" s="2">
        <f t="shared" si="0"/>
        <v>10000</v>
      </c>
      <c r="F6" s="3" t="s">
        <v>178</v>
      </c>
      <c r="G6" s="1">
        <v>13</v>
      </c>
      <c r="H6" s="1">
        <v>10</v>
      </c>
      <c r="I6" s="2">
        <v>40000</v>
      </c>
      <c r="J6" s="21"/>
    </row>
    <row r="7" spans="1:10">
      <c r="A7" s="3" t="s">
        <v>165</v>
      </c>
      <c r="B7" s="3" t="s">
        <v>157</v>
      </c>
      <c r="C7" s="3">
        <v>123</v>
      </c>
      <c r="D7" s="2">
        <f t="shared" si="0"/>
        <v>15000</v>
      </c>
      <c r="F7" s="3" t="s">
        <v>179</v>
      </c>
      <c r="G7" s="1">
        <v>15</v>
      </c>
      <c r="H7" s="1">
        <v>8</v>
      </c>
      <c r="I7" s="2">
        <v>90000</v>
      </c>
      <c r="J7" s="21"/>
    </row>
    <row r="8" spans="1:10">
      <c r="A8" s="3" t="s">
        <v>166</v>
      </c>
      <c r="B8" s="3" t="s">
        <v>159</v>
      </c>
      <c r="C8" s="3">
        <v>43</v>
      </c>
      <c r="D8" s="2">
        <f t="shared" si="0"/>
        <v>10000</v>
      </c>
      <c r="F8" s="3" t="s">
        <v>175</v>
      </c>
      <c r="G8" s="1">
        <v>30</v>
      </c>
      <c r="H8" s="1">
        <v>9</v>
      </c>
      <c r="I8" s="2">
        <v>250000</v>
      </c>
      <c r="J8" s="21"/>
    </row>
    <row r="9" spans="1:10">
      <c r="A9" s="3" t="s">
        <v>167</v>
      </c>
      <c r="B9" s="3" t="s">
        <v>158</v>
      </c>
      <c r="C9" s="3">
        <v>719</v>
      </c>
      <c r="D9" s="2">
        <f t="shared" si="0"/>
        <v>15000</v>
      </c>
      <c r="F9" s="3" t="s">
        <v>180</v>
      </c>
      <c r="G9" s="1">
        <v>24</v>
      </c>
      <c r="H9" s="1">
        <v>1</v>
      </c>
      <c r="I9" s="2">
        <v>150000</v>
      </c>
      <c r="J9" s="21"/>
    </row>
    <row r="10" spans="1:10">
      <c r="A10" s="3" t="s">
        <v>168</v>
      </c>
      <c r="B10" s="3" t="s">
        <v>158</v>
      </c>
      <c r="C10" s="3">
        <v>107</v>
      </c>
      <c r="D10" s="2">
        <f t="shared" si="0"/>
        <v>10000</v>
      </c>
      <c r="F10" s="3" t="s">
        <v>181</v>
      </c>
      <c r="G10" s="1">
        <v>29</v>
      </c>
      <c r="H10" s="1">
        <v>7</v>
      </c>
      <c r="I10" s="2">
        <v>160000</v>
      </c>
      <c r="J10" s="21"/>
    </row>
    <row r="11" spans="1:10">
      <c r="F11" s="27" t="s">
        <v>184</v>
      </c>
      <c r="G11" s="28"/>
      <c r="H11" s="28"/>
      <c r="I11" s="19">
        <f>COUNTIFS(I3:I10,"&gt;=100000",I3:I10,"&lt;200000")/COUNT(I3:I10)</f>
        <v>0.375</v>
      </c>
    </row>
    <row r="12" spans="1:10">
      <c r="A12" s="14" t="s">
        <v>169</v>
      </c>
      <c r="B12" s="15"/>
    </row>
    <row r="13" spans="1:10">
      <c r="A13" s="6" t="s">
        <v>192</v>
      </c>
      <c r="B13" s="6" t="s">
        <v>128</v>
      </c>
      <c r="C13" s="6" t="s">
        <v>129</v>
      </c>
      <c r="D13" s="4" t="s">
        <v>130</v>
      </c>
      <c r="F13" t="s">
        <v>210</v>
      </c>
    </row>
    <row r="14" spans="1:10">
      <c r="A14" s="3" t="s">
        <v>193</v>
      </c>
      <c r="B14" s="17">
        <v>2566</v>
      </c>
      <c r="C14" s="17">
        <v>4567</v>
      </c>
      <c r="D14" s="24">
        <f>C14*(1-VLOOKUP(C14-B14,$F$14:$H$18,3,1))</f>
        <v>3196.8999999999996</v>
      </c>
      <c r="F14" s="31" t="s">
        <v>131</v>
      </c>
      <c r="G14" s="32"/>
      <c r="H14" s="16" t="s">
        <v>132</v>
      </c>
    </row>
    <row r="15" spans="1:10">
      <c r="A15" s="3" t="s">
        <v>194</v>
      </c>
      <c r="B15" s="17">
        <v>4765</v>
      </c>
      <c r="C15" s="17">
        <v>5565</v>
      </c>
      <c r="D15" s="24">
        <f t="shared" ref="D15:D20" si="1">C15*(1-VLOOKUP(C15-B15,$F$14:$H$18,3,1))</f>
        <v>5008.5</v>
      </c>
      <c r="F15" s="18">
        <v>0</v>
      </c>
      <c r="G15" s="3">
        <v>999</v>
      </c>
      <c r="H15" s="19">
        <v>0.1</v>
      </c>
    </row>
    <row r="16" spans="1:10">
      <c r="A16" s="3" t="s">
        <v>195</v>
      </c>
      <c r="B16" s="17">
        <v>3325</v>
      </c>
      <c r="C16" s="17">
        <v>4378</v>
      </c>
      <c r="D16" s="24">
        <f t="shared" si="1"/>
        <v>3502.4</v>
      </c>
      <c r="F16" s="18">
        <v>1000</v>
      </c>
      <c r="G16" s="3">
        <v>1999</v>
      </c>
      <c r="H16" s="19">
        <v>0.2</v>
      </c>
    </row>
    <row r="17" spans="1:9">
      <c r="A17" s="3" t="s">
        <v>196</v>
      </c>
      <c r="B17" s="17">
        <v>6678</v>
      </c>
      <c r="C17" s="17">
        <v>11567</v>
      </c>
      <c r="D17" s="24">
        <f t="shared" si="1"/>
        <v>6940.2</v>
      </c>
      <c r="F17" s="18">
        <v>2000</v>
      </c>
      <c r="G17" s="3">
        <v>2000</v>
      </c>
      <c r="H17" s="19">
        <v>0.3</v>
      </c>
    </row>
    <row r="18" spans="1:9">
      <c r="A18" s="3" t="s">
        <v>197</v>
      </c>
      <c r="B18" s="17">
        <v>5689</v>
      </c>
      <c r="C18" s="17">
        <v>7734</v>
      </c>
      <c r="D18" s="24">
        <f t="shared" si="1"/>
        <v>5413.7999999999993</v>
      </c>
      <c r="F18" s="18">
        <v>3000</v>
      </c>
      <c r="G18" s="3" t="s">
        <v>133</v>
      </c>
      <c r="H18" s="19">
        <v>0.4</v>
      </c>
    </row>
    <row r="19" spans="1:9">
      <c r="A19" s="3" t="s">
        <v>198</v>
      </c>
      <c r="B19" s="17">
        <v>4867</v>
      </c>
      <c r="C19" s="17">
        <v>6688</v>
      </c>
      <c r="D19" s="24">
        <f t="shared" si="1"/>
        <v>5350.4000000000005</v>
      </c>
    </row>
    <row r="20" spans="1:9">
      <c r="A20" s="3" t="s">
        <v>199</v>
      </c>
      <c r="B20" s="17">
        <v>6478</v>
      </c>
      <c r="C20" s="17">
        <v>6555</v>
      </c>
      <c r="D20" s="24">
        <f t="shared" si="1"/>
        <v>5899.5</v>
      </c>
    </row>
    <row r="22" spans="1:9">
      <c r="A22" s="10" t="s">
        <v>182</v>
      </c>
      <c r="F22" t="s">
        <v>152</v>
      </c>
    </row>
    <row r="23" spans="1:9">
      <c r="A23" s="6" t="s">
        <v>183</v>
      </c>
      <c r="B23" s="6" t="s">
        <v>185</v>
      </c>
      <c r="C23" s="6" t="s">
        <v>213</v>
      </c>
      <c r="D23" s="6" t="s">
        <v>207</v>
      </c>
      <c r="F23" s="6" t="s">
        <v>143</v>
      </c>
      <c r="G23" s="6" t="s">
        <v>144</v>
      </c>
      <c r="H23" s="6" t="s">
        <v>150</v>
      </c>
      <c r="I23" s="4" t="s">
        <v>153</v>
      </c>
    </row>
    <row r="24" spans="1:9">
      <c r="A24" s="3" t="s">
        <v>186</v>
      </c>
      <c r="B24" s="3" t="s">
        <v>200</v>
      </c>
      <c r="C24" s="3" t="s">
        <v>204</v>
      </c>
      <c r="D24" s="3">
        <v>85</v>
      </c>
      <c r="F24" s="3" t="s">
        <v>135</v>
      </c>
      <c r="G24" s="3" t="s">
        <v>151</v>
      </c>
      <c r="H24" s="3">
        <v>252</v>
      </c>
      <c r="I24" s="3" t="str">
        <f>IFERROR(CHOOSE(_xlfn.RANK.EQ(H24,$H$24:$H$31,0),"나쁨","나쁨","주의"),"보통")</f>
        <v>나쁨</v>
      </c>
    </row>
    <row r="25" spans="1:9">
      <c r="A25" s="3" t="s">
        <v>187</v>
      </c>
      <c r="B25" s="3" t="s">
        <v>201</v>
      </c>
      <c r="C25" s="3" t="s">
        <v>205</v>
      </c>
      <c r="D25" s="3">
        <v>70</v>
      </c>
      <c r="F25" s="3" t="s">
        <v>136</v>
      </c>
      <c r="G25" s="3" t="s">
        <v>145</v>
      </c>
      <c r="H25" s="3">
        <v>81</v>
      </c>
      <c r="I25" s="3" t="str">
        <f t="shared" ref="I25:I31" si="2">IFERROR(CHOOSE(_xlfn.RANK.EQ(H25,$H$24:$H$31,0),"나쁨","나쁨","주의"),"보통")</f>
        <v>보통</v>
      </c>
    </row>
    <row r="26" spans="1:9">
      <c r="A26" s="3" t="s">
        <v>64</v>
      </c>
      <c r="B26" s="3" t="s">
        <v>201</v>
      </c>
      <c r="C26" s="3" t="s">
        <v>203</v>
      </c>
      <c r="D26" s="3">
        <v>65</v>
      </c>
      <c r="F26" s="3" t="s">
        <v>137</v>
      </c>
      <c r="G26" s="3" t="s">
        <v>147</v>
      </c>
      <c r="H26" s="3">
        <v>75</v>
      </c>
      <c r="I26" s="3" t="str">
        <f t="shared" si="2"/>
        <v>보통</v>
      </c>
    </row>
    <row r="27" spans="1:9">
      <c r="A27" s="3" t="s">
        <v>189</v>
      </c>
      <c r="B27" s="3" t="s">
        <v>200</v>
      </c>
      <c r="C27" s="3" t="s">
        <v>206</v>
      </c>
      <c r="D27" s="3">
        <v>40</v>
      </c>
      <c r="F27" s="3" t="s">
        <v>138</v>
      </c>
      <c r="G27" s="3" t="s">
        <v>146</v>
      </c>
      <c r="H27" s="3">
        <v>102</v>
      </c>
      <c r="I27" s="3" t="str">
        <f t="shared" si="2"/>
        <v>주의</v>
      </c>
    </row>
    <row r="28" spans="1:9">
      <c r="A28" s="3" t="s">
        <v>188</v>
      </c>
      <c r="B28" s="3" t="s">
        <v>201</v>
      </c>
      <c r="C28" s="3" t="s">
        <v>203</v>
      </c>
      <c r="D28" s="3">
        <v>90</v>
      </c>
      <c r="F28" s="3" t="s">
        <v>139</v>
      </c>
      <c r="G28" s="3" t="s">
        <v>148</v>
      </c>
      <c r="H28" s="3">
        <v>156</v>
      </c>
      <c r="I28" s="3" t="str">
        <f t="shared" si="2"/>
        <v>나쁨</v>
      </c>
    </row>
    <row r="29" spans="1:9">
      <c r="A29" s="3" t="s">
        <v>190</v>
      </c>
      <c r="B29" s="3" t="s">
        <v>201</v>
      </c>
      <c r="C29" s="3" t="s">
        <v>202</v>
      </c>
      <c r="D29" s="3">
        <v>65</v>
      </c>
      <c r="F29" s="3" t="s">
        <v>140</v>
      </c>
      <c r="G29" s="3" t="s">
        <v>149</v>
      </c>
      <c r="H29" s="3">
        <v>80</v>
      </c>
      <c r="I29" s="3" t="str">
        <f t="shared" si="2"/>
        <v>보통</v>
      </c>
    </row>
    <row r="30" spans="1:9">
      <c r="A30" s="3" t="s">
        <v>191</v>
      </c>
      <c r="B30" s="3" t="s">
        <v>200</v>
      </c>
      <c r="C30" s="3" t="s">
        <v>206</v>
      </c>
      <c r="D30" s="3">
        <v>40</v>
      </c>
      <c r="F30" s="3" t="s">
        <v>141</v>
      </c>
      <c r="G30" s="3" t="s">
        <v>145</v>
      </c>
      <c r="H30" s="3">
        <v>77</v>
      </c>
      <c r="I30" s="3" t="str">
        <f t="shared" si="2"/>
        <v>보통</v>
      </c>
    </row>
    <row r="31" spans="1:9">
      <c r="A31" s="29" t="s">
        <v>211</v>
      </c>
      <c r="B31" s="30"/>
      <c r="C31" s="30"/>
      <c r="D31" s="3">
        <f>ABS(AVERAGEIFS(D24:D30,C24:C30,"남자")-AVERAGEIFS(D24:D30,C24:C30,"여자"))</f>
        <v>26.25</v>
      </c>
      <c r="F31" s="3" t="s">
        <v>142</v>
      </c>
      <c r="G31" s="3" t="s">
        <v>146</v>
      </c>
      <c r="H31" s="3">
        <v>83</v>
      </c>
      <c r="I31" s="3" t="str">
        <f t="shared" si="2"/>
        <v>보통</v>
      </c>
    </row>
  </sheetData>
  <mergeCells count="3">
    <mergeCell ref="F14:G14"/>
    <mergeCell ref="F11:H11"/>
    <mergeCell ref="A31:C3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N41"/>
  <sheetViews>
    <sheetView topLeftCell="A19" zoomScaleNormal="100" workbookViewId="0">
      <selection activeCell="K29" sqref="K29"/>
    </sheetView>
  </sheetViews>
  <sheetFormatPr defaultRowHeight="16.5"/>
  <cols>
    <col min="1" max="5" width="10.5" customWidth="1"/>
    <col min="6" max="6" width="5.25" customWidth="1"/>
    <col min="7" max="8" width="10" bestFit="1" customWidth="1"/>
    <col min="9" max="10" width="9.875" customWidth="1"/>
    <col min="11" max="11" width="9.25" customWidth="1"/>
    <col min="12" max="12" width="13.75" bestFit="1" customWidth="1"/>
    <col min="13" max="13" width="27.25" bestFit="1" customWidth="1"/>
    <col min="14" max="14" width="14.125" bestFit="1" customWidth="1"/>
  </cols>
  <sheetData>
    <row r="1" spans="1:14">
      <c r="A1" t="s">
        <v>0</v>
      </c>
    </row>
    <row r="2" spans="1:14">
      <c r="A2" s="6" t="s">
        <v>1</v>
      </c>
      <c r="B2" s="6" t="s">
        <v>2</v>
      </c>
      <c r="C2" s="6" t="s">
        <v>3</v>
      </c>
      <c r="D2" s="4" t="s">
        <v>4</v>
      </c>
      <c r="G2" t="s">
        <v>5</v>
      </c>
      <c r="H2" s="25" t="s">
        <v>3</v>
      </c>
      <c r="I2" s="25"/>
      <c r="J2" s="25"/>
      <c r="K2" s="25"/>
    </row>
    <row r="3" spans="1:14" ht="16.899999999999999" customHeight="1">
      <c r="A3" s="3" t="s">
        <v>12</v>
      </c>
      <c r="B3" s="3" t="s">
        <v>9</v>
      </c>
      <c r="C3" s="3" t="s">
        <v>8</v>
      </c>
      <c r="D3" s="2">
        <f>IF(C3="부산",VLOOKUP(B3,$G$4:$K$7,MATCH(C3,$H$3:$K$3,0)+1,0)*0.8,VLOOKUP(B3,$G$4:$K$7,MATCH(C3,$H$3:$K$3,0)+1,0))</f>
        <v>5000</v>
      </c>
      <c r="G3" s="3" t="s">
        <v>3</v>
      </c>
      <c r="H3" s="3" t="s">
        <v>7</v>
      </c>
      <c r="I3" s="3" t="s">
        <v>9</v>
      </c>
      <c r="J3" s="3" t="s">
        <v>10</v>
      </c>
      <c r="K3" s="3" t="s">
        <v>11</v>
      </c>
    </row>
    <row r="4" spans="1:14">
      <c r="A4" s="3" t="s">
        <v>13</v>
      </c>
      <c r="B4" s="3" t="s">
        <v>8</v>
      </c>
      <c r="C4" s="3" t="s">
        <v>22</v>
      </c>
      <c r="D4" s="2">
        <f t="shared" ref="D4:D12" si="0">IF(C4="부산",VLOOKUP(B4,$G$4:$K$7,MATCH(C4,$H$3:$K$3,0)+1,0)*0.8,VLOOKUP(B4,$G$4:$K$7,MATCH(C4,$H$3:$K$3,0)+1,0))</f>
        <v>4800</v>
      </c>
      <c r="F4" s="26" t="s">
        <v>2</v>
      </c>
      <c r="G4" s="3" t="s">
        <v>7</v>
      </c>
      <c r="H4" s="8">
        <v>0</v>
      </c>
      <c r="I4" s="9">
        <v>5000</v>
      </c>
      <c r="J4" s="9">
        <v>6000</v>
      </c>
      <c r="K4" s="9">
        <v>10000</v>
      </c>
    </row>
    <row r="5" spans="1:14">
      <c r="A5" s="3" t="s">
        <v>14</v>
      </c>
      <c r="B5" s="3" t="s">
        <v>9</v>
      </c>
      <c r="C5" s="3" t="s">
        <v>23</v>
      </c>
      <c r="D5" s="2">
        <f t="shared" si="0"/>
        <v>7000</v>
      </c>
      <c r="F5" s="26"/>
      <c r="G5" s="3" t="s">
        <v>9</v>
      </c>
      <c r="H5" s="9">
        <v>5000</v>
      </c>
      <c r="I5" s="9">
        <v>0</v>
      </c>
      <c r="J5" s="9">
        <v>3000</v>
      </c>
      <c r="K5" s="9">
        <v>7000</v>
      </c>
    </row>
    <row r="6" spans="1:14">
      <c r="A6" s="3" t="s">
        <v>15</v>
      </c>
      <c r="B6" s="3" t="s">
        <v>8</v>
      </c>
      <c r="C6" s="3" t="s">
        <v>9</v>
      </c>
      <c r="D6" s="2">
        <f t="shared" si="0"/>
        <v>5000</v>
      </c>
      <c r="F6" s="26"/>
      <c r="G6" s="3" t="s">
        <v>10</v>
      </c>
      <c r="H6" s="9">
        <v>6000</v>
      </c>
      <c r="I6" s="9">
        <v>3000</v>
      </c>
      <c r="J6" s="9">
        <v>0</v>
      </c>
      <c r="K6" s="9">
        <v>11000</v>
      </c>
    </row>
    <row r="7" spans="1:14">
      <c r="A7" s="3" t="s">
        <v>16</v>
      </c>
      <c r="B7" s="3" t="s">
        <v>7</v>
      </c>
      <c r="C7" s="3" t="s">
        <v>22</v>
      </c>
      <c r="D7" s="2">
        <f t="shared" si="0"/>
        <v>4800</v>
      </c>
      <c r="F7" s="26"/>
      <c r="G7" s="3" t="s">
        <v>11</v>
      </c>
      <c r="H7" s="9">
        <v>10000</v>
      </c>
      <c r="I7" s="9">
        <v>7000</v>
      </c>
      <c r="J7" s="9">
        <v>11000</v>
      </c>
      <c r="K7" s="9">
        <v>0</v>
      </c>
    </row>
    <row r="8" spans="1:14">
      <c r="A8" s="3" t="s">
        <v>17</v>
      </c>
      <c r="B8" s="3" t="s">
        <v>22</v>
      </c>
      <c r="C8" s="3" t="s">
        <v>7</v>
      </c>
      <c r="D8" s="2">
        <f t="shared" si="0"/>
        <v>6000</v>
      </c>
    </row>
    <row r="9" spans="1:14">
      <c r="A9" s="3" t="s">
        <v>18</v>
      </c>
      <c r="B9" s="3" t="s">
        <v>8</v>
      </c>
      <c r="C9" s="3" t="s">
        <v>22</v>
      </c>
      <c r="D9" s="2">
        <f t="shared" si="0"/>
        <v>4800</v>
      </c>
    </row>
    <row r="10" spans="1:14">
      <c r="A10" s="3" t="s">
        <v>19</v>
      </c>
      <c r="B10" s="3" t="s">
        <v>22</v>
      </c>
      <c r="C10" s="3" t="s">
        <v>23</v>
      </c>
      <c r="D10" s="2">
        <f t="shared" si="0"/>
        <v>11000</v>
      </c>
    </row>
    <row r="11" spans="1:14">
      <c r="A11" s="3" t="s">
        <v>20</v>
      </c>
      <c r="B11" s="3" t="s">
        <v>8</v>
      </c>
      <c r="C11" s="3" t="s">
        <v>9</v>
      </c>
      <c r="D11" s="2">
        <f t="shared" si="0"/>
        <v>5000</v>
      </c>
    </row>
    <row r="12" spans="1:14">
      <c r="A12" s="3" t="s">
        <v>21</v>
      </c>
      <c r="B12" s="3" t="s">
        <v>23</v>
      </c>
      <c r="C12" s="3" t="s">
        <v>8</v>
      </c>
      <c r="D12" s="2">
        <f t="shared" si="0"/>
        <v>10000</v>
      </c>
    </row>
    <row r="13" spans="1:14">
      <c r="K13" t="s">
        <v>110</v>
      </c>
    </row>
    <row r="14" spans="1:14">
      <c r="A14" s="10" t="s">
        <v>29</v>
      </c>
      <c r="K14" s="6" t="s">
        <v>58</v>
      </c>
      <c r="L14" s="6" t="s">
        <v>81</v>
      </c>
      <c r="M14" s="6" t="s">
        <v>76</v>
      </c>
      <c r="N14" s="4" t="s">
        <v>82</v>
      </c>
    </row>
    <row r="15" spans="1:14">
      <c r="A15" s="3" t="s">
        <v>30</v>
      </c>
      <c r="B15" s="3" t="s">
        <v>41</v>
      </c>
      <c r="C15" s="3" t="s">
        <v>31</v>
      </c>
      <c r="D15" s="3" t="s">
        <v>32</v>
      </c>
      <c r="E15" s="3" t="s">
        <v>73</v>
      </c>
      <c r="K15" s="3" t="s">
        <v>65</v>
      </c>
      <c r="L15" s="3" t="s">
        <v>105</v>
      </c>
      <c r="M15" t="s">
        <v>107</v>
      </c>
      <c r="N15" s="1" t="str">
        <f t="shared" ref="N15:N16" si="1">MID(M15,1,SEARCH("@",M15)-1)</f>
        <v>lionking123</v>
      </c>
    </row>
    <row r="16" spans="1:14">
      <c r="A16" s="3">
        <v>20191732</v>
      </c>
      <c r="B16" s="3" t="s">
        <v>42</v>
      </c>
      <c r="C16" s="3" t="s">
        <v>51</v>
      </c>
      <c r="D16" s="3" t="s">
        <v>36</v>
      </c>
      <c r="E16" s="3">
        <v>42.25</v>
      </c>
      <c r="K16" s="3" t="s">
        <v>63</v>
      </c>
      <c r="L16" s="3" t="s">
        <v>106</v>
      </c>
      <c r="M16" t="s">
        <v>108</v>
      </c>
      <c r="N16" s="1" t="str">
        <f t="shared" si="1"/>
        <v>crodcdiledundy</v>
      </c>
    </row>
    <row r="17" spans="1:14">
      <c r="A17" s="3">
        <v>20191733</v>
      </c>
      <c r="B17" s="3" t="s">
        <v>43</v>
      </c>
      <c r="C17" s="3" t="s">
        <v>34</v>
      </c>
      <c r="D17" s="3" t="s">
        <v>39</v>
      </c>
      <c r="E17" s="3">
        <v>83.33</v>
      </c>
      <c r="K17" s="3" t="s">
        <v>83</v>
      </c>
      <c r="L17" s="3" t="s">
        <v>84</v>
      </c>
      <c r="M17" s="1" t="s">
        <v>95</v>
      </c>
      <c r="N17" s="1" t="str">
        <f>MID(M17,1,SEARCH("@",M17)-1)</f>
        <v>missioncc</v>
      </c>
    </row>
    <row r="18" spans="1:14">
      <c r="A18" s="3">
        <v>20191734</v>
      </c>
      <c r="B18" s="3" t="s">
        <v>44</v>
      </c>
      <c r="C18" s="3" t="s">
        <v>51</v>
      </c>
      <c r="D18" s="3" t="s">
        <v>39</v>
      </c>
      <c r="E18" s="3">
        <v>54.12</v>
      </c>
      <c r="K18" s="3" t="s">
        <v>85</v>
      </c>
      <c r="L18" s="3" t="s">
        <v>86</v>
      </c>
      <c r="M18" s="1" t="s">
        <v>96</v>
      </c>
      <c r="N18" s="1" t="str">
        <f t="shared" ref="N18:N24" si="2">MID(M18,1,SEARCH("@",M18)-1)</f>
        <v>yiwonki0179</v>
      </c>
    </row>
    <row r="19" spans="1:14">
      <c r="A19" s="3">
        <v>20191735</v>
      </c>
      <c r="B19" s="3" t="s">
        <v>45</v>
      </c>
      <c r="C19" s="3" t="s">
        <v>33</v>
      </c>
      <c r="D19" s="3" t="s">
        <v>36</v>
      </c>
      <c r="E19" s="3">
        <v>56.43</v>
      </c>
      <c r="K19" s="3" t="s">
        <v>69</v>
      </c>
      <c r="L19" s="3" t="s">
        <v>88</v>
      </c>
      <c r="M19" s="1" t="s">
        <v>97</v>
      </c>
      <c r="N19" s="1" t="str">
        <f t="shared" si="2"/>
        <v>crocodile0802</v>
      </c>
    </row>
    <row r="20" spans="1:14">
      <c r="A20" s="3">
        <v>20191736</v>
      </c>
      <c r="B20" s="3" t="s">
        <v>46</v>
      </c>
      <c r="C20" s="3" t="s">
        <v>34</v>
      </c>
      <c r="D20" s="3" t="s">
        <v>39</v>
      </c>
      <c r="E20" s="3">
        <v>67.12</v>
      </c>
      <c r="K20" s="3" t="s">
        <v>89</v>
      </c>
      <c r="L20" s="3" t="s">
        <v>90</v>
      </c>
      <c r="M20" s="1" t="s">
        <v>98</v>
      </c>
      <c r="N20" s="1" t="str">
        <f t="shared" si="2"/>
        <v>angelgiraffe</v>
      </c>
    </row>
    <row r="21" spans="1:14">
      <c r="A21" s="3">
        <v>20191737</v>
      </c>
      <c r="B21" s="3" t="s">
        <v>47</v>
      </c>
      <c r="C21" s="3" t="s">
        <v>34</v>
      </c>
      <c r="D21" s="3" t="s">
        <v>39</v>
      </c>
      <c r="E21" s="3">
        <v>88.15</v>
      </c>
      <c r="K21" s="3" t="s">
        <v>70</v>
      </c>
      <c r="L21" s="3" t="s">
        <v>92</v>
      </c>
      <c r="M21" s="1" t="s">
        <v>99</v>
      </c>
      <c r="N21" s="1" t="str">
        <f t="shared" si="2"/>
        <v>dolphinlove</v>
      </c>
    </row>
    <row r="22" spans="1:14">
      <c r="A22" s="3">
        <v>20191738</v>
      </c>
      <c r="B22" s="3" t="s">
        <v>48</v>
      </c>
      <c r="C22" s="3" t="s">
        <v>51</v>
      </c>
      <c r="D22" s="3" t="s">
        <v>38</v>
      </c>
      <c r="E22" s="3">
        <v>91.13</v>
      </c>
      <c r="G22" s="3" t="s">
        <v>31</v>
      </c>
      <c r="H22" s="3" t="s">
        <v>32</v>
      </c>
      <c r="K22" s="3" t="s">
        <v>77</v>
      </c>
      <c r="L22" s="3" t="s">
        <v>78</v>
      </c>
      <c r="M22" s="1" t="s">
        <v>100</v>
      </c>
      <c r="N22" s="1" t="str">
        <f t="shared" si="2"/>
        <v>supersonnylove</v>
      </c>
    </row>
    <row r="23" spans="1:14">
      <c r="A23" s="3">
        <v>20191739</v>
      </c>
      <c r="B23" s="3" t="s">
        <v>49</v>
      </c>
      <c r="C23" s="3" t="s">
        <v>33</v>
      </c>
      <c r="D23" s="3" t="s">
        <v>39</v>
      </c>
      <c r="E23" s="3">
        <v>53.53</v>
      </c>
      <c r="G23" s="3" t="s">
        <v>55</v>
      </c>
      <c r="H23" s="3" t="s">
        <v>39</v>
      </c>
      <c r="K23" s="3" t="s">
        <v>68</v>
      </c>
      <c r="L23" s="3" t="s">
        <v>94</v>
      </c>
      <c r="M23" s="1" t="s">
        <v>101</v>
      </c>
      <c r="N23" s="1" t="str">
        <f t="shared" si="2"/>
        <v>yiwonki</v>
      </c>
    </row>
    <row r="24" spans="1:14">
      <c r="A24" s="3">
        <v>20191740</v>
      </c>
      <c r="B24" s="3" t="s">
        <v>50</v>
      </c>
      <c r="C24" s="3" t="s">
        <v>33</v>
      </c>
      <c r="D24" s="3" t="s">
        <v>39</v>
      </c>
      <c r="E24" s="3">
        <v>75.739999999999995</v>
      </c>
      <c r="K24" s="3" t="s">
        <v>79</v>
      </c>
      <c r="L24" s="3" t="s">
        <v>80</v>
      </c>
      <c r="M24" s="1" t="s">
        <v>102</v>
      </c>
      <c r="N24" s="1" t="str">
        <f t="shared" si="2"/>
        <v>mission</v>
      </c>
    </row>
    <row r="25" spans="1:14">
      <c r="A25" s="27" t="s">
        <v>208</v>
      </c>
      <c r="B25" s="28"/>
      <c r="C25" s="28"/>
      <c r="D25" s="28"/>
      <c r="E25" s="3">
        <f>ROUNDDOWN(DSUM(A15:E24,E15,G22:H23),1)</f>
        <v>129.19999999999999</v>
      </c>
    </row>
    <row r="27" spans="1:14">
      <c r="A27" s="10" t="s">
        <v>111</v>
      </c>
      <c r="G27" s="5" t="s">
        <v>112</v>
      </c>
    </row>
    <row r="28" spans="1:14">
      <c r="A28" s="3" t="s">
        <v>57</v>
      </c>
      <c r="B28" s="3" t="s">
        <v>58</v>
      </c>
      <c r="C28" s="3" t="s">
        <v>59</v>
      </c>
      <c r="D28" s="3" t="s">
        <v>60</v>
      </c>
      <c r="E28" s="3" t="s">
        <v>61</v>
      </c>
      <c r="G28" s="3" t="s">
        <v>113</v>
      </c>
      <c r="H28" s="3" t="s">
        <v>109</v>
      </c>
      <c r="I28" s="3" t="s">
        <v>75</v>
      </c>
      <c r="J28" s="3" t="s">
        <v>124</v>
      </c>
      <c r="K28" s="3" t="s">
        <v>74</v>
      </c>
    </row>
    <row r="29" spans="1:14">
      <c r="A29" s="3">
        <v>202236001</v>
      </c>
      <c r="B29" s="3" t="s">
        <v>62</v>
      </c>
      <c r="C29" s="3">
        <v>90</v>
      </c>
      <c r="D29" s="3">
        <v>65</v>
      </c>
      <c r="E29" s="7">
        <f>AVERAGE(C29:D29)</f>
        <v>77.5</v>
      </c>
      <c r="G29" s="11" t="s">
        <v>114</v>
      </c>
      <c r="H29" s="22">
        <v>813</v>
      </c>
      <c r="I29" s="22">
        <v>900</v>
      </c>
      <c r="J29" s="23">
        <v>839.09999999999991</v>
      </c>
      <c r="K29" s="3" t="str">
        <f>IFERROR(CHOOSE(_xlfn.RANK.EQ(J29,$J$29:$J$38,0),"수석","차석"),"")</f>
        <v>차석</v>
      </c>
    </row>
    <row r="30" spans="1:14">
      <c r="A30" s="3">
        <v>202236002</v>
      </c>
      <c r="B30" s="3" t="s">
        <v>63</v>
      </c>
      <c r="C30" s="3">
        <v>55</v>
      </c>
      <c r="D30" s="3">
        <v>70</v>
      </c>
      <c r="E30" s="7">
        <f t="shared" ref="E30:E38" si="3">AVERAGE(C30:D30)</f>
        <v>62.5</v>
      </c>
      <c r="G30" s="11" t="s">
        <v>115</v>
      </c>
      <c r="H30" s="22">
        <v>775</v>
      </c>
      <c r="I30" s="22">
        <v>862</v>
      </c>
      <c r="J30" s="23">
        <v>801.09999999999991</v>
      </c>
      <c r="K30" s="3" t="str">
        <f t="shared" ref="K30:K38" si="4">IFERROR(CHOOSE(_xlfn.RANK.EQ(J30,$J$29:$J$38,0),"수석","차석"),"")</f>
        <v/>
      </c>
    </row>
    <row r="31" spans="1:14">
      <c r="A31" s="3">
        <v>202236003</v>
      </c>
      <c r="B31" s="3" t="s">
        <v>64</v>
      </c>
      <c r="C31" s="3">
        <v>75</v>
      </c>
      <c r="D31" s="3">
        <v>75</v>
      </c>
      <c r="E31" s="7">
        <f t="shared" si="3"/>
        <v>75</v>
      </c>
      <c r="G31" s="11" t="s">
        <v>116</v>
      </c>
      <c r="H31" s="22">
        <v>661</v>
      </c>
      <c r="I31" s="22">
        <v>850</v>
      </c>
      <c r="J31" s="23">
        <v>717.7</v>
      </c>
      <c r="K31" s="3" t="str">
        <f t="shared" si="4"/>
        <v/>
      </c>
    </row>
    <row r="32" spans="1:14">
      <c r="A32" s="3">
        <v>202236004</v>
      </c>
      <c r="B32" s="3" t="s">
        <v>65</v>
      </c>
      <c r="C32" s="3">
        <v>70</v>
      </c>
      <c r="D32" s="3">
        <v>100</v>
      </c>
      <c r="E32" s="7">
        <f t="shared" si="3"/>
        <v>85</v>
      </c>
      <c r="G32" s="11" t="s">
        <v>117</v>
      </c>
      <c r="H32" s="22">
        <v>738</v>
      </c>
      <c r="I32" s="22">
        <v>790</v>
      </c>
      <c r="J32" s="23">
        <v>753.6</v>
      </c>
      <c r="K32" s="3" t="str">
        <f t="shared" si="4"/>
        <v/>
      </c>
    </row>
    <row r="33" spans="1:11">
      <c r="A33" s="3">
        <v>202236005</v>
      </c>
      <c r="B33" s="3" t="s">
        <v>66</v>
      </c>
      <c r="C33" s="3">
        <v>75</v>
      </c>
      <c r="D33" s="3">
        <v>50</v>
      </c>
      <c r="E33" s="7">
        <f t="shared" si="3"/>
        <v>62.5</v>
      </c>
      <c r="G33" s="11" t="s">
        <v>118</v>
      </c>
      <c r="H33" s="22">
        <v>760</v>
      </c>
      <c r="I33" s="22">
        <v>950</v>
      </c>
      <c r="J33" s="23">
        <v>817</v>
      </c>
      <c r="K33" s="3" t="str">
        <f t="shared" si="4"/>
        <v/>
      </c>
    </row>
    <row r="34" spans="1:11">
      <c r="A34" s="3">
        <v>202236006</v>
      </c>
      <c r="B34" s="3" t="s">
        <v>67</v>
      </c>
      <c r="C34" s="3">
        <v>85</v>
      </c>
      <c r="D34" s="3">
        <v>45</v>
      </c>
      <c r="E34" s="7">
        <f t="shared" si="3"/>
        <v>65</v>
      </c>
      <c r="G34" s="11" t="s">
        <v>119</v>
      </c>
      <c r="H34" s="22">
        <v>885</v>
      </c>
      <c r="I34" s="22">
        <v>730</v>
      </c>
      <c r="J34" s="23">
        <v>838.5</v>
      </c>
      <c r="K34" s="3" t="str">
        <f t="shared" si="4"/>
        <v/>
      </c>
    </row>
    <row r="35" spans="1:11">
      <c r="A35" s="3">
        <v>202236007</v>
      </c>
      <c r="B35" s="3" t="s">
        <v>68</v>
      </c>
      <c r="C35" s="3">
        <v>60</v>
      </c>
      <c r="D35" s="3">
        <v>80</v>
      </c>
      <c r="E35" s="7">
        <f t="shared" si="3"/>
        <v>70</v>
      </c>
      <c r="G35" s="11" t="s">
        <v>120</v>
      </c>
      <c r="H35" s="22">
        <v>850</v>
      </c>
      <c r="I35" s="22">
        <v>820</v>
      </c>
      <c r="J35" s="23">
        <v>841</v>
      </c>
      <c r="K35" s="3" t="str">
        <f t="shared" si="4"/>
        <v>수석</v>
      </c>
    </row>
    <row r="36" spans="1:11">
      <c r="A36" s="3">
        <v>202236008</v>
      </c>
      <c r="B36" s="3" t="s">
        <v>69</v>
      </c>
      <c r="C36" s="3">
        <v>60</v>
      </c>
      <c r="D36" s="3">
        <v>85</v>
      </c>
      <c r="E36" s="7">
        <f t="shared" si="3"/>
        <v>72.5</v>
      </c>
      <c r="G36" s="11" t="s">
        <v>121</v>
      </c>
      <c r="H36" s="22">
        <v>769</v>
      </c>
      <c r="I36" s="22">
        <v>910</v>
      </c>
      <c r="J36" s="23">
        <v>811.3</v>
      </c>
      <c r="K36" s="3" t="str">
        <f t="shared" si="4"/>
        <v/>
      </c>
    </row>
    <row r="37" spans="1:11">
      <c r="A37" s="3">
        <v>202236009</v>
      </c>
      <c r="B37" s="3" t="s">
        <v>70</v>
      </c>
      <c r="C37" s="3">
        <v>85</v>
      </c>
      <c r="D37" s="3">
        <v>70</v>
      </c>
      <c r="E37" s="7">
        <f t="shared" si="3"/>
        <v>77.5</v>
      </c>
      <c r="G37" s="11" t="s">
        <v>122</v>
      </c>
      <c r="H37" s="22">
        <v>813</v>
      </c>
      <c r="I37" s="22">
        <v>850</v>
      </c>
      <c r="J37" s="23">
        <v>824.09999999999991</v>
      </c>
      <c r="K37" s="3" t="str">
        <f t="shared" si="4"/>
        <v/>
      </c>
    </row>
    <row r="38" spans="1:11">
      <c r="A38" s="3">
        <v>202236010</v>
      </c>
      <c r="B38" s="3" t="s">
        <v>71</v>
      </c>
      <c r="C38" s="3">
        <v>80</v>
      </c>
      <c r="D38" s="3">
        <v>60</v>
      </c>
      <c r="E38" s="7">
        <f t="shared" si="3"/>
        <v>70</v>
      </c>
      <c r="G38" s="11" t="s">
        <v>123</v>
      </c>
      <c r="H38" s="22">
        <v>790</v>
      </c>
      <c r="I38" s="22">
        <v>888</v>
      </c>
      <c r="J38" s="23">
        <v>819.4</v>
      </c>
      <c r="K38" s="3" t="str">
        <f t="shared" si="4"/>
        <v/>
      </c>
    </row>
    <row r="39" spans="1:11">
      <c r="A39" s="29" t="s">
        <v>72</v>
      </c>
      <c r="B39" s="30"/>
      <c r="C39" s="30"/>
      <c r="D39" s="30"/>
      <c r="E39" s="3" t="str">
        <f>COUNTIFS(C29:C38,"&gt;=70",D29:D38,"&gt;=70",E29:E38,"&gt;="&amp;AVERAGE(E29:E38))&amp;"명"</f>
        <v>3명</v>
      </c>
      <c r="I39" s="13"/>
      <c r="J39" s="13"/>
    </row>
    <row r="40" spans="1:11">
      <c r="J40" s="12"/>
    </row>
    <row r="41" spans="1:11">
      <c r="J41" s="12"/>
    </row>
  </sheetData>
  <mergeCells count="4">
    <mergeCell ref="H2:K2"/>
    <mergeCell ref="F4:F7"/>
    <mergeCell ref="A25:D25"/>
    <mergeCell ref="A39:D39"/>
  </mergeCells>
  <phoneticPr fontId="2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1"/>
  <sheetViews>
    <sheetView topLeftCell="A4" workbookViewId="0">
      <selection activeCell="I11" sqref="I11"/>
    </sheetView>
  </sheetViews>
  <sheetFormatPr defaultRowHeight="16.5"/>
  <cols>
    <col min="1" max="9" width="10.25" customWidth="1"/>
  </cols>
  <sheetData>
    <row r="1" spans="1:10">
      <c r="A1" t="s">
        <v>0</v>
      </c>
      <c r="F1" t="s">
        <v>29</v>
      </c>
    </row>
    <row r="2" spans="1:10">
      <c r="A2" s="6" t="s">
        <v>160</v>
      </c>
      <c r="B2" s="6" t="s">
        <v>126</v>
      </c>
      <c r="C2" s="6" t="s">
        <v>127</v>
      </c>
      <c r="D2" s="4" t="s">
        <v>134</v>
      </c>
      <c r="F2" s="6" t="s">
        <v>31</v>
      </c>
      <c r="G2" s="6" t="s">
        <v>172</v>
      </c>
      <c r="H2" s="6" t="s">
        <v>173</v>
      </c>
      <c r="I2" s="6" t="s">
        <v>174</v>
      </c>
    </row>
    <row r="3" spans="1:10">
      <c r="A3" s="3" t="s">
        <v>161</v>
      </c>
      <c r="B3" s="3" t="s">
        <v>154</v>
      </c>
      <c r="C3" s="3">
        <v>114</v>
      </c>
      <c r="D3" s="2">
        <f>IF(AND(B3="학교",C3&gt;=120),15000,10000)</f>
        <v>10000</v>
      </c>
      <c r="F3" s="3" t="s">
        <v>175</v>
      </c>
      <c r="G3" s="1">
        <v>15</v>
      </c>
      <c r="H3" s="1">
        <v>1</v>
      </c>
      <c r="I3" s="2">
        <v>75000</v>
      </c>
      <c r="J3" s="21"/>
    </row>
    <row r="4" spans="1:10">
      <c r="A4" s="3" t="s">
        <v>162</v>
      </c>
      <c r="B4" s="3" t="s">
        <v>155</v>
      </c>
      <c r="C4" s="3">
        <v>81</v>
      </c>
      <c r="D4" s="2">
        <f t="shared" ref="D4:D10" si="0">IF(AND(B4="학교",C4&gt;=120),15000,10000)</f>
        <v>10000</v>
      </c>
      <c r="F4" s="3" t="s">
        <v>176</v>
      </c>
      <c r="G4" s="1">
        <v>20</v>
      </c>
      <c r="H4" s="1">
        <v>9</v>
      </c>
      <c r="I4" s="2">
        <v>380000</v>
      </c>
      <c r="J4" s="21"/>
    </row>
    <row r="5" spans="1:10">
      <c r="A5" s="3" t="s">
        <v>163</v>
      </c>
      <c r="B5" s="3" t="s">
        <v>154</v>
      </c>
      <c r="C5" s="3">
        <v>150</v>
      </c>
      <c r="D5" s="2">
        <f t="shared" si="0"/>
        <v>15000</v>
      </c>
      <c r="F5" s="3" t="s">
        <v>177</v>
      </c>
      <c r="G5" s="1">
        <v>17</v>
      </c>
      <c r="H5" s="1">
        <v>15</v>
      </c>
      <c r="I5" s="2">
        <v>150000</v>
      </c>
      <c r="J5" s="21"/>
    </row>
    <row r="6" spans="1:10">
      <c r="A6" s="3" t="s">
        <v>164</v>
      </c>
      <c r="B6" s="3" t="s">
        <v>155</v>
      </c>
      <c r="C6" s="3">
        <v>77</v>
      </c>
      <c r="D6" s="2">
        <f t="shared" si="0"/>
        <v>10000</v>
      </c>
      <c r="F6" s="3" t="s">
        <v>178</v>
      </c>
      <c r="G6" s="1">
        <v>13</v>
      </c>
      <c r="H6" s="1">
        <v>10</v>
      </c>
      <c r="I6" s="2">
        <v>40000</v>
      </c>
      <c r="J6" s="21"/>
    </row>
    <row r="7" spans="1:10">
      <c r="A7" s="3" t="s">
        <v>165</v>
      </c>
      <c r="B7" s="3" t="s">
        <v>154</v>
      </c>
      <c r="C7" s="3">
        <v>123</v>
      </c>
      <c r="D7" s="2">
        <f t="shared" si="0"/>
        <v>15000</v>
      </c>
      <c r="F7" s="3" t="s">
        <v>179</v>
      </c>
      <c r="G7" s="1">
        <v>15</v>
      </c>
      <c r="H7" s="1">
        <v>8</v>
      </c>
      <c r="I7" s="2">
        <v>90000</v>
      </c>
      <c r="J7" s="21"/>
    </row>
    <row r="8" spans="1:10">
      <c r="A8" s="3" t="s">
        <v>166</v>
      </c>
      <c r="B8" s="3" t="s">
        <v>155</v>
      </c>
      <c r="C8" s="3">
        <v>43</v>
      </c>
      <c r="D8" s="2">
        <f t="shared" si="0"/>
        <v>10000</v>
      </c>
      <c r="F8" s="3" t="s">
        <v>175</v>
      </c>
      <c r="G8" s="1">
        <v>30</v>
      </c>
      <c r="H8" s="1">
        <v>9</v>
      </c>
      <c r="I8" s="2">
        <v>250000</v>
      </c>
      <c r="J8" s="21"/>
    </row>
    <row r="9" spans="1:10">
      <c r="A9" s="3" t="s">
        <v>167</v>
      </c>
      <c r="B9" s="3" t="s">
        <v>154</v>
      </c>
      <c r="C9" s="3">
        <v>719</v>
      </c>
      <c r="D9" s="2">
        <f t="shared" si="0"/>
        <v>15000</v>
      </c>
      <c r="F9" s="3" t="s">
        <v>180</v>
      </c>
      <c r="G9" s="1">
        <v>24</v>
      </c>
      <c r="H9" s="1">
        <v>1</v>
      </c>
      <c r="I9" s="2">
        <v>150000</v>
      </c>
      <c r="J9" s="21"/>
    </row>
    <row r="10" spans="1:10">
      <c r="A10" s="3" t="s">
        <v>168</v>
      </c>
      <c r="B10" s="3" t="s">
        <v>154</v>
      </c>
      <c r="C10" s="3">
        <v>107</v>
      </c>
      <c r="D10" s="2">
        <f t="shared" si="0"/>
        <v>10000</v>
      </c>
      <c r="F10" s="3" t="s">
        <v>181</v>
      </c>
      <c r="G10" s="1">
        <v>29</v>
      </c>
      <c r="H10" s="1">
        <v>7</v>
      </c>
      <c r="I10" s="2">
        <v>160000</v>
      </c>
      <c r="J10" s="21"/>
    </row>
    <row r="11" spans="1:10">
      <c r="F11" s="27" t="s">
        <v>184</v>
      </c>
      <c r="G11" s="28"/>
      <c r="H11" s="28"/>
      <c r="I11" s="19">
        <f>COUNTIFS(I3:I10,"&gt;=100000",I3:I10,"&lt;200000")/COUNT(I3:I10)</f>
        <v>0.375</v>
      </c>
    </row>
    <row r="12" spans="1:10">
      <c r="A12" s="14" t="s">
        <v>110</v>
      </c>
      <c r="B12" s="15"/>
    </row>
    <row r="13" spans="1:10">
      <c r="A13" s="6" t="s">
        <v>192</v>
      </c>
      <c r="B13" s="6" t="s">
        <v>128</v>
      </c>
      <c r="C13" s="6" t="s">
        <v>129</v>
      </c>
      <c r="D13" s="4" t="s">
        <v>130</v>
      </c>
      <c r="F13" t="s">
        <v>212</v>
      </c>
    </row>
    <row r="14" spans="1:10">
      <c r="A14" s="3" t="s">
        <v>193</v>
      </c>
      <c r="B14" s="17">
        <v>2566</v>
      </c>
      <c r="C14" s="17">
        <v>4567</v>
      </c>
      <c r="D14" s="20">
        <f t="shared" ref="D14:D20" si="1">C14*(1-VLOOKUP(C14-B14,$F$15:$H$18,3,1))</f>
        <v>3196.8999999999996</v>
      </c>
      <c r="F14" s="31" t="s">
        <v>131</v>
      </c>
      <c r="G14" s="32"/>
      <c r="H14" s="16" t="s">
        <v>132</v>
      </c>
    </row>
    <row r="15" spans="1:10">
      <c r="A15" s="3" t="s">
        <v>194</v>
      </c>
      <c r="B15" s="17">
        <v>4765</v>
      </c>
      <c r="C15" s="17">
        <v>5565</v>
      </c>
      <c r="D15" s="20">
        <f t="shared" si="1"/>
        <v>5008.5</v>
      </c>
      <c r="F15" s="18">
        <v>0</v>
      </c>
      <c r="G15" s="3">
        <v>999</v>
      </c>
      <c r="H15" s="19">
        <v>0.1</v>
      </c>
    </row>
    <row r="16" spans="1:10">
      <c r="A16" s="3" t="s">
        <v>195</v>
      </c>
      <c r="B16" s="17">
        <v>3325</v>
      </c>
      <c r="C16" s="17">
        <v>4378</v>
      </c>
      <c r="D16" s="20">
        <f t="shared" si="1"/>
        <v>3502.4</v>
      </c>
      <c r="F16" s="18">
        <v>1000</v>
      </c>
      <c r="G16" s="3">
        <v>1999</v>
      </c>
      <c r="H16" s="19">
        <v>0.2</v>
      </c>
    </row>
    <row r="17" spans="1:9">
      <c r="A17" s="3" t="s">
        <v>196</v>
      </c>
      <c r="B17" s="17">
        <v>6678</v>
      </c>
      <c r="C17" s="17">
        <v>11567</v>
      </c>
      <c r="D17" s="20">
        <f t="shared" si="1"/>
        <v>6940.2</v>
      </c>
      <c r="F17" s="18">
        <v>2000</v>
      </c>
      <c r="G17" s="3">
        <v>2000</v>
      </c>
      <c r="H17" s="19">
        <v>0.3</v>
      </c>
    </row>
    <row r="18" spans="1:9">
      <c r="A18" s="3" t="s">
        <v>197</v>
      </c>
      <c r="B18" s="17">
        <v>5689</v>
      </c>
      <c r="C18" s="17">
        <v>7734</v>
      </c>
      <c r="D18" s="20">
        <f t="shared" si="1"/>
        <v>5413.7999999999993</v>
      </c>
      <c r="F18" s="18">
        <v>3000</v>
      </c>
      <c r="G18" s="3" t="s">
        <v>133</v>
      </c>
      <c r="H18" s="19">
        <v>0.4</v>
      </c>
    </row>
    <row r="19" spans="1:9">
      <c r="A19" s="3" t="s">
        <v>198</v>
      </c>
      <c r="B19" s="17">
        <v>4867</v>
      </c>
      <c r="C19" s="17">
        <v>6688</v>
      </c>
      <c r="D19" s="20">
        <f t="shared" si="1"/>
        <v>5350.4000000000005</v>
      </c>
    </row>
    <row r="20" spans="1:9">
      <c r="A20" s="3" t="s">
        <v>199</v>
      </c>
      <c r="B20" s="17">
        <v>6478</v>
      </c>
      <c r="C20" s="17">
        <v>6555</v>
      </c>
      <c r="D20" s="20">
        <f t="shared" si="1"/>
        <v>5899.5</v>
      </c>
    </row>
    <row r="22" spans="1:9">
      <c r="A22" s="10" t="s">
        <v>111</v>
      </c>
      <c r="F22" t="s">
        <v>112</v>
      </c>
    </row>
    <row r="23" spans="1:9">
      <c r="A23" s="6" t="s">
        <v>58</v>
      </c>
      <c r="B23" s="6" t="s">
        <v>185</v>
      </c>
      <c r="C23" s="6" t="s">
        <v>213</v>
      </c>
      <c r="D23" s="6" t="s">
        <v>207</v>
      </c>
      <c r="F23" s="6" t="s">
        <v>143</v>
      </c>
      <c r="G23" s="6" t="s">
        <v>144</v>
      </c>
      <c r="H23" s="6" t="s">
        <v>150</v>
      </c>
      <c r="I23" s="4" t="s">
        <v>153</v>
      </c>
    </row>
    <row r="24" spans="1:9">
      <c r="A24" s="3" t="s">
        <v>186</v>
      </c>
      <c r="B24" s="3" t="s">
        <v>200</v>
      </c>
      <c r="C24" s="3" t="s">
        <v>202</v>
      </c>
      <c r="D24" s="3">
        <v>85</v>
      </c>
      <c r="F24" s="3" t="s">
        <v>135</v>
      </c>
      <c r="G24" s="3" t="s">
        <v>147</v>
      </c>
      <c r="H24" s="3">
        <v>252</v>
      </c>
      <c r="I24" s="3" t="str">
        <f>IFERROR(CHOOSE(_xlfn.RANK.EQ(H24,$H$24:$H$31,0),"나쁨","나쁨","주의"),"보통")</f>
        <v>나쁨</v>
      </c>
    </row>
    <row r="25" spans="1:9">
      <c r="A25" s="3" t="s">
        <v>187</v>
      </c>
      <c r="B25" s="3" t="s">
        <v>201</v>
      </c>
      <c r="C25" s="3" t="s">
        <v>205</v>
      </c>
      <c r="D25" s="3">
        <v>70</v>
      </c>
      <c r="F25" s="3" t="s">
        <v>136</v>
      </c>
      <c r="G25" s="3" t="s">
        <v>145</v>
      </c>
      <c r="H25" s="3">
        <v>81</v>
      </c>
      <c r="I25" s="3" t="str">
        <f t="shared" ref="I25:I31" si="2">IFERROR(CHOOSE(_xlfn.RANK.EQ(H25,$H$24:$H$31,0),"나쁨","나쁨","주의"),"보통")</f>
        <v>보통</v>
      </c>
    </row>
    <row r="26" spans="1:9">
      <c r="A26" s="3" t="s">
        <v>64</v>
      </c>
      <c r="B26" s="3" t="s">
        <v>201</v>
      </c>
      <c r="C26" s="3" t="s">
        <v>202</v>
      </c>
      <c r="D26" s="3">
        <v>65</v>
      </c>
      <c r="F26" s="3" t="s">
        <v>137</v>
      </c>
      <c r="G26" s="3" t="s">
        <v>147</v>
      </c>
      <c r="H26" s="3">
        <v>75</v>
      </c>
      <c r="I26" s="3" t="str">
        <f t="shared" si="2"/>
        <v>보통</v>
      </c>
    </row>
    <row r="27" spans="1:9">
      <c r="A27" s="3" t="s">
        <v>189</v>
      </c>
      <c r="B27" s="3" t="s">
        <v>200</v>
      </c>
      <c r="C27" s="3" t="s">
        <v>205</v>
      </c>
      <c r="D27" s="3">
        <v>40</v>
      </c>
      <c r="F27" s="3" t="s">
        <v>138</v>
      </c>
      <c r="G27" s="3" t="s">
        <v>145</v>
      </c>
      <c r="H27" s="3">
        <v>102</v>
      </c>
      <c r="I27" s="3" t="str">
        <f t="shared" si="2"/>
        <v>주의</v>
      </c>
    </row>
    <row r="28" spans="1:9">
      <c r="A28" s="3" t="s">
        <v>188</v>
      </c>
      <c r="B28" s="3" t="s">
        <v>201</v>
      </c>
      <c r="C28" s="3" t="s">
        <v>202</v>
      </c>
      <c r="D28" s="3">
        <v>90</v>
      </c>
      <c r="F28" s="3" t="s">
        <v>139</v>
      </c>
      <c r="G28" s="3" t="s">
        <v>147</v>
      </c>
      <c r="H28" s="3">
        <v>156</v>
      </c>
      <c r="I28" s="3" t="str">
        <f t="shared" si="2"/>
        <v>나쁨</v>
      </c>
    </row>
    <row r="29" spans="1:9">
      <c r="A29" s="3" t="s">
        <v>190</v>
      </c>
      <c r="B29" s="3" t="s">
        <v>201</v>
      </c>
      <c r="C29" s="3" t="s">
        <v>202</v>
      </c>
      <c r="D29" s="3">
        <v>65</v>
      </c>
      <c r="F29" s="3" t="s">
        <v>140</v>
      </c>
      <c r="G29" s="3" t="s">
        <v>149</v>
      </c>
      <c r="H29" s="3">
        <v>80</v>
      </c>
      <c r="I29" s="3" t="str">
        <f t="shared" si="2"/>
        <v>보통</v>
      </c>
    </row>
    <row r="30" spans="1:9">
      <c r="A30" s="3" t="s">
        <v>191</v>
      </c>
      <c r="B30" s="3" t="s">
        <v>200</v>
      </c>
      <c r="C30" s="3" t="s">
        <v>205</v>
      </c>
      <c r="D30" s="3">
        <v>40</v>
      </c>
      <c r="F30" s="3" t="s">
        <v>141</v>
      </c>
      <c r="G30" s="3" t="s">
        <v>145</v>
      </c>
      <c r="H30" s="3">
        <v>77</v>
      </c>
      <c r="I30" s="3" t="str">
        <f t="shared" si="2"/>
        <v>보통</v>
      </c>
    </row>
    <row r="31" spans="1:9">
      <c r="A31" s="29" t="s">
        <v>211</v>
      </c>
      <c r="B31" s="30"/>
      <c r="C31" s="30"/>
      <c r="D31" s="3">
        <f>ABS(AVERAGEIF(C24:C30,"남자",D24:D30)-AVERAGEIF(C24:C30,"여자",D24:D30))</f>
        <v>26.25</v>
      </c>
      <c r="F31" s="3" t="s">
        <v>142</v>
      </c>
      <c r="G31" s="3" t="s">
        <v>145</v>
      </c>
      <c r="H31" s="3">
        <v>83</v>
      </c>
      <c r="I31" s="3" t="str">
        <f t="shared" si="2"/>
        <v>보통</v>
      </c>
    </row>
  </sheetData>
  <mergeCells count="3">
    <mergeCell ref="F11:H11"/>
    <mergeCell ref="F14:G14"/>
    <mergeCell ref="A31:C31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계산작업1</vt:lpstr>
      <vt:lpstr>계산작업2</vt:lpstr>
      <vt:lpstr>계산작업1_정답</vt:lpstr>
      <vt:lpstr>계산작업2_정답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2023-01-03T12:55:35Z</dcterms:modified>
</cp:coreProperties>
</file>