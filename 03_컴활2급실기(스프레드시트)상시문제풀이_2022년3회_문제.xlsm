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3_컴활2급실기(스프레드시트)상시문제풀이_2022년3회\"/>
    </mc:Choice>
  </mc:AlternateContent>
  <xr:revisionPtr revIDLastSave="0" documentId="13_ncr:1_{3476314D-86C4-4F96-80D2-21251F6D03A9}" xr6:coauthVersionLast="47" xr6:coauthVersionMax="47" xr10:uidLastSave="{00000000-0000-0000-0000-000000000000}"/>
  <bookViews>
    <workbookView xWindow="0" yWindow="1695" windowWidth="15015" windowHeight="8145" tabRatio="844" firstSheet="1" activeTab="7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_xlnm._FilterDatabase" localSheetId="5" hidden="1">'분석작업-2'!$A$2:$D$19</definedName>
    <definedName name="배점" localSheetId="2">'기본작업-3'!#REF!</definedName>
    <definedName name="배점">'기본작업-2'!#REF!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1학기성적표" name="1학기성적표" connection="1학기성적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8" l="1"/>
  <c r="E5" i="8"/>
  <c r="E6" i="8"/>
  <c r="E7" i="8"/>
  <c r="E8" i="8"/>
  <c r="E3" i="8"/>
  <c r="G22" i="5"/>
  <c r="G21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3" i="5"/>
  <c r="B6" i="15"/>
  <c r="E3" i="1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학기성적표" type="103" refreshedVersion="6" minRefreshableVersion="5">
    <extLst>
      <ext xmlns:x15="http://schemas.microsoft.com/office/spreadsheetml/2010/11/main" uri="{DE250136-89BD-433C-8126-D09CA5730AF9}">
        <x15:connection id="1학기성적표" autoDelete="1">
          <x15:textPr codePage="65001" sourceFile="C:\Users\missi\Documents\00_유튜브 강의\04_컴활2급실기\01_기출문제 시리즈\21_2022_상시 3회\1학기성적표.txt" space="1" consecutive="1">
            <textFields count="6">
              <textField/>
              <textField/>
              <textField/>
              <textField/>
              <textField/>
              <textField type="skip"/>
            </textFields>
          </x15:textPr>
          <x15:modelTextPr headers="1"/>
        </x15:connection>
      </ext>
    </extLst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<sst xmlns="http://schemas.openxmlformats.org/spreadsheetml/2006/main" count="224" uniqueCount="173">
  <si>
    <t>곽봉규</t>
  </si>
  <si>
    <t>강경순</t>
  </si>
  <si>
    <t>[표1]</t>
    <phoneticPr fontId="2" type="noConversion"/>
  </si>
  <si>
    <t>구입품목</t>
    <phoneticPr fontId="2" type="noConversion"/>
  </si>
  <si>
    <t>단위</t>
    <phoneticPr fontId="2" type="noConversion"/>
  </si>
  <si>
    <t>단가</t>
    <phoneticPr fontId="2" type="noConversion"/>
  </si>
  <si>
    <t>수량</t>
    <phoneticPr fontId="2" type="noConversion"/>
  </si>
  <si>
    <t>구입금액</t>
    <phoneticPr fontId="2" type="noConversion"/>
  </si>
  <si>
    <t>라면</t>
    <phoneticPr fontId="2" type="noConversion"/>
  </si>
  <si>
    <t>박스</t>
    <phoneticPr fontId="2" type="noConversion"/>
  </si>
  <si>
    <t>계란</t>
    <phoneticPr fontId="2" type="noConversion"/>
  </si>
  <si>
    <t>판</t>
    <phoneticPr fontId="2" type="noConversion"/>
  </si>
  <si>
    <t>단</t>
    <phoneticPr fontId="2" type="noConversion"/>
  </si>
  <si>
    <t>파</t>
    <phoneticPr fontId="2" type="noConversion"/>
  </si>
  <si>
    <t>감자</t>
    <phoneticPr fontId="2" type="noConversion"/>
  </si>
  <si>
    <t>100g</t>
    <phoneticPr fontId="2" type="noConversion"/>
  </si>
  <si>
    <t>다시다</t>
    <phoneticPr fontId="2" type="noConversion"/>
  </si>
  <si>
    <t>1kg</t>
    <phoneticPr fontId="2" type="noConversion"/>
  </si>
  <si>
    <t>간장</t>
    <phoneticPr fontId="2" type="noConversion"/>
  </si>
  <si>
    <t>1.8l</t>
    <phoneticPr fontId="2" type="noConversion"/>
  </si>
  <si>
    <t>춘천</t>
    <phoneticPr fontId="2" type="noConversion"/>
  </si>
  <si>
    <t>원주</t>
    <phoneticPr fontId="2" type="noConversion"/>
  </si>
  <si>
    <t>기풍학원수강현황</t>
    <phoneticPr fontId="2" type="noConversion"/>
  </si>
  <si>
    <t>접수번호</t>
    <phoneticPr fontId="2" type="noConversion"/>
  </si>
  <si>
    <t>접수일</t>
    <phoneticPr fontId="2" type="noConversion"/>
  </si>
  <si>
    <t>이름</t>
    <phoneticPr fontId="2" type="noConversion"/>
  </si>
  <si>
    <t>지역</t>
    <phoneticPr fontId="2" type="noConversion"/>
  </si>
  <si>
    <t>차량</t>
    <phoneticPr fontId="2" type="noConversion"/>
  </si>
  <si>
    <t>접수과목</t>
    <phoneticPr fontId="2" type="noConversion"/>
  </si>
  <si>
    <t>수강료</t>
    <phoneticPr fontId="2" type="noConversion"/>
  </si>
  <si>
    <t>담당쌤</t>
    <phoneticPr fontId="2" type="noConversion"/>
  </si>
  <si>
    <t>오기풍</t>
    <phoneticPr fontId="2" type="noConversion"/>
  </si>
  <si>
    <t>봄내음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</si>
  <si>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</si>
  <si>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</si>
  <si>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</si>
  <si>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</si>
  <si>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</si>
  <si>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</si>
  <si>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컴활1급필기</t>
    <phoneticPr fontId="2" type="noConversion"/>
  </si>
  <si>
    <t>컴활2급필기</t>
    <phoneticPr fontId="2" type="noConversion"/>
  </si>
  <si>
    <t>컴활1급실기</t>
    <phoneticPr fontId="2" type="noConversion"/>
  </si>
  <si>
    <t>컴활2급실기</t>
    <phoneticPr fontId="2" type="noConversion"/>
  </si>
  <si>
    <t>컴활2급실기</t>
    <phoneticPr fontId="2" type="noConversion"/>
  </si>
  <si>
    <t>0108033****</t>
  </si>
  <si>
    <t>0105362****</t>
  </si>
  <si>
    <t>0108797****</t>
  </si>
  <si>
    <t>0106433****</t>
  </si>
  <si>
    <t>0103897****</t>
  </si>
  <si>
    <t>0103759****</t>
  </si>
  <si>
    <t>박재용</t>
  </si>
  <si>
    <t>최상신</t>
  </si>
  <si>
    <t>곽복류</t>
  </si>
  <si>
    <t>최금선</t>
  </si>
  <si>
    <t>공은주</t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</si>
  <si>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</si>
  <si>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</si>
  <si>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</si>
  <si>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퇴계동</t>
    <phoneticPr fontId="2" type="noConversion"/>
  </si>
  <si>
    <t>석사동</t>
    <phoneticPr fontId="2" type="noConversion"/>
  </si>
  <si>
    <t>효자동</t>
    <phoneticPr fontId="2" type="noConversion"/>
  </si>
  <si>
    <t>운행</t>
    <phoneticPr fontId="2" type="noConversion"/>
  </si>
  <si>
    <t>운행</t>
    <phoneticPr fontId="2" type="noConversion"/>
  </si>
  <si>
    <t>[표1]</t>
    <phoneticPr fontId="2" type="noConversion"/>
  </si>
  <si>
    <t>사번</t>
    <phoneticPr fontId="2" type="noConversion"/>
  </si>
  <si>
    <t>부서</t>
    <phoneticPr fontId="2" type="noConversion"/>
  </si>
  <si>
    <t>이름</t>
    <phoneticPr fontId="2" type="noConversion"/>
  </si>
  <si>
    <t>구분</t>
    <phoneticPr fontId="2" type="noConversion"/>
  </si>
  <si>
    <t>근무점수</t>
    <phoneticPr fontId="2" type="noConversion"/>
  </si>
  <si>
    <t>연수성적</t>
    <phoneticPr fontId="2" type="noConversion"/>
  </si>
  <si>
    <t>평가</t>
    <phoneticPr fontId="2" type="noConversion"/>
  </si>
  <si>
    <t>입사년차</t>
    <phoneticPr fontId="2" type="noConversion"/>
  </si>
  <si>
    <t>AM-01B</t>
    <phoneticPr fontId="2" type="noConversion"/>
  </si>
  <si>
    <t>BM-12S</t>
    <phoneticPr fontId="2" type="noConversion"/>
  </si>
  <si>
    <t>CM-14C</t>
    <phoneticPr fontId="2" type="noConversion"/>
  </si>
  <si>
    <t>DM-17D</t>
    <phoneticPr fontId="2" type="noConversion"/>
  </si>
  <si>
    <t>BP-11C</t>
    <phoneticPr fontId="2" type="noConversion"/>
  </si>
  <si>
    <t>AP-06D</t>
    <phoneticPr fontId="2" type="noConversion"/>
  </si>
  <si>
    <t>CP-11S</t>
    <phoneticPr fontId="2" type="noConversion"/>
  </si>
  <si>
    <t>DP-07B</t>
    <phoneticPr fontId="2" type="noConversion"/>
  </si>
  <si>
    <t>AS-02B</t>
    <phoneticPr fontId="2" type="noConversion"/>
  </si>
  <si>
    <t>BS-18S</t>
    <phoneticPr fontId="2" type="noConversion"/>
  </si>
  <si>
    <t>CS-09D</t>
    <phoneticPr fontId="2" type="noConversion"/>
  </si>
  <si>
    <t>관리부</t>
    <phoneticPr fontId="2" type="noConversion"/>
  </si>
  <si>
    <t>관리부</t>
    <phoneticPr fontId="2" type="noConversion"/>
  </si>
  <si>
    <t>관리부</t>
    <phoneticPr fontId="2" type="noConversion"/>
  </si>
  <si>
    <t>생산부</t>
    <phoneticPr fontId="2" type="noConversion"/>
  </si>
  <si>
    <t>생산부</t>
    <phoneticPr fontId="2" type="noConversion"/>
  </si>
  <si>
    <t>생산부</t>
    <phoneticPr fontId="2" type="noConversion"/>
  </si>
  <si>
    <t>영업부</t>
    <phoneticPr fontId="2" type="noConversion"/>
  </si>
  <si>
    <t>영업부</t>
    <phoneticPr fontId="2" type="noConversion"/>
  </si>
  <si>
    <t>김상표</t>
  </si>
  <si>
    <t>박낙균</t>
  </si>
  <si>
    <t>이승렬</t>
  </si>
  <si>
    <t>박강훈</t>
  </si>
  <si>
    <t>박준홍</t>
  </si>
  <si>
    <t>유재천</t>
  </si>
  <si>
    <t>최상복</t>
    <phoneticPr fontId="2" type="noConversion"/>
  </si>
  <si>
    <t>곽호둥</t>
  </si>
  <si>
    <t>배영숙</t>
  </si>
  <si>
    <t>강정화</t>
  </si>
  <si>
    <t>조병철</t>
  </si>
  <si>
    <t>BP-11S</t>
    <phoneticPr fontId="2" type="noConversion"/>
  </si>
  <si>
    <t>BM-14C</t>
    <phoneticPr fontId="2" type="noConversion"/>
  </si>
  <si>
    <t xml:space="preserve">오늘날짜: </t>
    <phoneticPr fontId="2" type="noConversion"/>
  </si>
  <si>
    <t>AP-07B</t>
    <phoneticPr fontId="2" type="noConversion"/>
  </si>
  <si>
    <t>CS-09D</t>
    <phoneticPr fontId="2" type="noConversion"/>
  </si>
  <si>
    <t>생산부</t>
    <phoneticPr fontId="2" type="noConversion"/>
  </si>
  <si>
    <t>영업부</t>
    <phoneticPr fontId="2" type="noConversion"/>
  </si>
  <si>
    <t>부서가 생산부인 연수성적의 평균</t>
    <phoneticPr fontId="2" type="noConversion"/>
  </si>
  <si>
    <t>근무점수가 가장 높은 직원의 이름</t>
    <phoneticPr fontId="2" type="noConversion"/>
  </si>
  <si>
    <t>[표1]아르바이트 급여</t>
    <phoneticPr fontId="2" type="noConversion"/>
  </si>
  <si>
    <t>시급</t>
    <phoneticPr fontId="2" type="noConversion"/>
  </si>
  <si>
    <t>출근시간</t>
    <phoneticPr fontId="2" type="noConversion"/>
  </si>
  <si>
    <t>퇴근시간</t>
    <phoneticPr fontId="2" type="noConversion"/>
  </si>
  <si>
    <t>근무일수</t>
    <phoneticPr fontId="2" type="noConversion"/>
  </si>
  <si>
    <t>급여총액</t>
    <phoneticPr fontId="2" type="noConversion"/>
  </si>
  <si>
    <t>[표2]</t>
    <phoneticPr fontId="2" type="noConversion"/>
  </si>
  <si>
    <t>근무일수</t>
    <phoneticPr fontId="2" type="noConversion"/>
  </si>
  <si>
    <t>인천</t>
    <phoneticPr fontId="2" type="noConversion"/>
  </si>
  <si>
    <t>0108736****</t>
  </si>
  <si>
    <t>0105374****</t>
  </si>
  <si>
    <t>0108602****</t>
  </si>
  <si>
    <t>0109198****</t>
  </si>
  <si>
    <t>0106295****</t>
  </si>
  <si>
    <t>0105367****</t>
  </si>
  <si>
    <t>0108299****</t>
  </si>
  <si>
    <t>서울</t>
    <phoneticPr fontId="2" type="noConversion"/>
  </si>
  <si>
    <t>0103300****</t>
  </si>
  <si>
    <t>0106320****</t>
  </si>
  <si>
    <t>0103750****</t>
  </si>
  <si>
    <t>0108879****</t>
  </si>
  <si>
    <t>사원코드</t>
    <phoneticPr fontId="6" type="noConversion"/>
  </si>
  <si>
    <t>이름</t>
    <phoneticPr fontId="6" type="noConversion"/>
  </si>
  <si>
    <t>전화번호</t>
    <phoneticPr fontId="6" type="noConversion"/>
  </si>
  <si>
    <t>발령지</t>
    <phoneticPr fontId="2" type="noConversion"/>
  </si>
  <si>
    <t>PRO-005</t>
    <phoneticPr fontId="2" type="noConversion"/>
  </si>
  <si>
    <t>TEC-003</t>
    <phoneticPr fontId="2" type="noConversion"/>
  </si>
  <si>
    <t>춘천</t>
    <phoneticPr fontId="2" type="noConversion"/>
  </si>
  <si>
    <t>PRO-002</t>
    <phoneticPr fontId="2" type="noConversion"/>
  </si>
  <si>
    <t>MAN-002</t>
    <phoneticPr fontId="2" type="noConversion"/>
  </si>
  <si>
    <t>원주</t>
    <phoneticPr fontId="2" type="noConversion"/>
  </si>
  <si>
    <t>SAL-001</t>
    <phoneticPr fontId="2" type="noConversion"/>
  </si>
  <si>
    <t>인천</t>
    <phoneticPr fontId="2" type="noConversion"/>
  </si>
  <si>
    <t>PRO-004</t>
    <phoneticPr fontId="2" type="noConversion"/>
  </si>
  <si>
    <t>서울</t>
    <phoneticPr fontId="2" type="noConversion"/>
  </si>
  <si>
    <t>TEC-004</t>
    <phoneticPr fontId="2" type="noConversion"/>
  </si>
  <si>
    <t>MAN-005</t>
    <phoneticPr fontId="2" type="noConversion"/>
  </si>
  <si>
    <t>TEC-001</t>
    <phoneticPr fontId="2" type="noConversion"/>
  </si>
  <si>
    <t>SAL-001</t>
    <phoneticPr fontId="2" type="noConversion"/>
  </si>
  <si>
    <t>SAL-003</t>
    <phoneticPr fontId="2" type="noConversion"/>
  </si>
  <si>
    <t>SAL-005</t>
    <phoneticPr fontId="2" type="noConversion"/>
  </si>
  <si>
    <t>최상복</t>
    <phoneticPr fontId="2" type="noConversion"/>
  </si>
  <si>
    <t>MAN-001</t>
    <phoneticPr fontId="2" type="noConversion"/>
  </si>
  <si>
    <t>춘천</t>
    <phoneticPr fontId="2" type="noConversion"/>
  </si>
  <si>
    <t>PRO-003</t>
    <phoneticPr fontId="2" type="noConversion"/>
  </si>
  <si>
    <t>서울</t>
    <phoneticPr fontId="2" type="noConversion"/>
  </si>
  <si>
    <t>SAL-002</t>
    <phoneticPr fontId="2" type="noConversion"/>
  </si>
  <si>
    <t xml:space="preserve">할인율 </t>
    <phoneticPr fontId="2" type="noConversion"/>
  </si>
  <si>
    <t>순위</t>
    <phoneticPr fontId="2" type="noConversion"/>
  </si>
  <si>
    <t>팀</t>
    <phoneticPr fontId="2" type="noConversion"/>
  </si>
  <si>
    <t>우리은행</t>
    <phoneticPr fontId="2" type="noConversion"/>
  </si>
  <si>
    <t>신한은행</t>
    <phoneticPr fontId="2" type="noConversion"/>
  </si>
  <si>
    <t>BNK썸</t>
    <phoneticPr fontId="2" type="noConversion"/>
  </si>
  <si>
    <t>삼성생명</t>
    <phoneticPr fontId="2" type="noConversion"/>
  </si>
  <si>
    <t>하나원큐</t>
    <phoneticPr fontId="2" type="noConversion"/>
  </si>
  <si>
    <t>승</t>
    <phoneticPr fontId="2" type="noConversion"/>
  </si>
  <si>
    <t>패</t>
    <phoneticPr fontId="2" type="noConversion"/>
  </si>
  <si>
    <t>WKBL(21-22)승률</t>
    <phoneticPr fontId="2" type="noConversion"/>
  </si>
  <si>
    <t>[표1]기풍전자 인사이동</t>
    <phoneticPr fontId="2" type="noConversion"/>
  </si>
  <si>
    <t>기풍반 성적표</t>
    <phoneticPr fontId="2" type="noConversion"/>
  </si>
  <si>
    <t>KB스타즈</t>
    <phoneticPr fontId="2" type="noConversion"/>
  </si>
  <si>
    <t>電話番號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</si>
</sst>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0_ "/>
    <numFmt numFmtId="178" formatCode="[$-412]yyyy&quot;년&quot;\ m&quot;월&quot;\ d&quot;일&quot;&quot;(&quot;dddd&quot;)&quot;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6"/>
      <color rgb="FF0070C0"/>
      <name val="맑은 고딕"/>
      <family val="2"/>
      <charset val="129"/>
      <scheme val="minor"/>
    </font>
    <font>
      <b/>
      <sz val="16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4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 readingOrder="1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20" fontId="0" fillId="0" borderId="1" xfId="0" applyNumberFormat="1" applyBorder="1">
      <alignment vertical="center"/>
    </xf>
    <xf numFmtId="41" fontId="0" fillId="3" borderId="1" xfId="1" applyFont="1" applyFill="1" applyBorder="1">
      <alignment vertical="center"/>
    </xf>
    <xf numFmtId="0" fontId="5" fillId="0" borderId="1" xfId="2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2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7" fillId="4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2" xfId="0" applyBorder="1">
      <alignment vertical="center"/>
    </xf>
    <xf numFmtId="9" fontId="0" fillId="0" borderId="2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178" fontId="0" fillId="0" borderId="1" xfId="0" applyNumberFormat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255"/>
    </xf>
    <xf numFmtId="14" fontId="0" fillId="0" borderId="1" xfId="0" applyNumberFormat="1" applyBorder="1" applyAlignment="1">
      <alignment horizontal="center" vertical="center"/>
    </xf>
    <xf numFmtId="41" fontId="0" fillId="0" borderId="1" xfId="0" applyNumberFormat="1" applyBorder="1">
      <alignment vertical="center"/>
    </xf>
    <xf numFmtId="41" fontId="10" fillId="7" borderId="1" xfId="1" applyFont="1" applyFill="1" applyBorder="1">
      <alignment vertical="center"/>
    </xf>
  </cellXfs>
  <cellStyles count="5">
    <cellStyle name="쉼표 [0]" xfId="1" builtinId="6"/>
    <cellStyle name="쉼표 [0] 2" xfId="3" xr:uid="{00000000-0005-0000-0000-000001000000}"/>
    <cellStyle name="통화 [0] 2" xfId="4" xr:uid="{00000000-0005-0000-0000-000002000000}"/>
    <cellStyle name="표준" xfId="0" builtinId="0"/>
    <cellStyle name="표준 2" xfId="2" xr:uid="{00000000-0005-0000-0000-000004000000}"/>
  </cellStyles>
  <dxfs count="1">
    <dxf>
      <fill>
        <patternFill patternType="solid">
          <fgColor rgb="FFC5D9F1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WKBL </a:t>
            </a:r>
            <a:r>
              <a:rPr lang="ko-KR"/>
              <a:t>승률</a:t>
            </a:r>
            <a:r>
              <a:rPr lang="en-US"/>
              <a:t>(21-22)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ofPieChart>
        <c:ofPieType val="bar"/>
        <c:varyColors val="1"/>
        <c:ser>
          <c:idx val="0"/>
          <c:order val="0"/>
          <c:tx>
            <c:strRef>
              <c:f>차트작업!$D$2</c:f>
              <c:strCache>
                <c:ptCount val="1"/>
                <c:pt idx="0">
                  <c:v>승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차트작업!$C$3:$C$8</c:f>
              <c:strCache>
                <c:ptCount val="6"/>
                <c:pt idx="0">
                  <c:v>KB스타즈</c:v>
                </c:pt>
                <c:pt idx="1">
                  <c:v>우리은행</c:v>
                </c:pt>
                <c:pt idx="2">
                  <c:v>신한은행</c:v>
                </c:pt>
                <c:pt idx="3">
                  <c:v>BNK썸</c:v>
                </c:pt>
                <c:pt idx="4">
                  <c:v>삼성생명</c:v>
                </c:pt>
                <c:pt idx="5">
                  <c:v>하나원큐</c:v>
                </c:pt>
              </c:strCache>
            </c:strRef>
          </c:cat>
          <c:val>
            <c:numRef>
              <c:f>차트작업!$D$3:$D$8</c:f>
              <c:numCache>
                <c:formatCode>General</c:formatCode>
                <c:ptCount val="6"/>
                <c:pt idx="0">
                  <c:v>25</c:v>
                </c:pt>
                <c:pt idx="1">
                  <c:v>21</c:v>
                </c:pt>
                <c:pt idx="2">
                  <c:v>16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C-4A67-946E-C2FE05835647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219"/>
        <c:splitType val="pos"/>
        <c:splitPos val="3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차트작업!$E$2</c15:sqref>
                        </c15:formulaRef>
                      </c:ext>
                    </c:extLst>
                    <c:strCache>
                      <c:ptCount val="1"/>
                      <c:pt idx="0">
                        <c:v>패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>
                      <a:noFill/>
                    </a:ln>
                    <a:effectLst/>
                    <a:scene3d>
                      <a:camera prst="orthographicFront"/>
                      <a:lightRig rig="brightRoom" dir="t"/>
                    </a:scene3d>
                    <a:sp3d prstMaterial="flat">
                      <a:bevelT w="50800" h="101600" prst="angle"/>
                      <a:contourClr>
                        <a:srgbClr val="000000"/>
                      </a:contourClr>
                    </a:sp3d>
                  </c:spPr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dLblPos val="inEnd"/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차트작업!$C$3:$C$8</c15:sqref>
                        </c15:formulaRef>
                      </c:ext>
                    </c:extLst>
                    <c:strCache>
                      <c:ptCount val="6"/>
                      <c:pt idx="0">
                        <c:v>KB스타즈</c:v>
                      </c:pt>
                      <c:pt idx="1">
                        <c:v>우리은행</c:v>
                      </c:pt>
                      <c:pt idx="2">
                        <c:v>신한은행</c:v>
                      </c:pt>
                      <c:pt idx="3">
                        <c:v>BNK썸</c:v>
                      </c:pt>
                      <c:pt idx="4">
                        <c:v>삼성생명</c:v>
                      </c:pt>
                      <c:pt idx="5">
                        <c:v>하나원큐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차트작업!$E$3:$E$8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5</c:v>
                      </c:pt>
                      <c:pt idx="1">
                        <c:v>9</c:v>
                      </c:pt>
                      <c:pt idx="2">
                        <c:v>14</c:v>
                      </c:pt>
                      <c:pt idx="3">
                        <c:v>18</c:v>
                      </c:pt>
                      <c:pt idx="4">
                        <c:v>19</c:v>
                      </c:pt>
                      <c:pt idx="5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79C-4A67-946E-C2FE05835647}"/>
                  </c:ext>
                </c:extLst>
              </c15:ser>
            </c15:filteredPieSeries>
          </c:ext>
        </c:extLst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652464</xdr:colOff>
      <xdr:row>1</xdr:row>
      <xdr:rowOff>109538</xdr:rowOff>
    </xdr:from>
    <xdr:to>
      <xdr:col>22</xdr:col>
      <xdr:colOff>513076</xdr:colOff>
      <xdr:row>19</xdr:row>
      <xdr:rowOff>25664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3827" y="323851"/>
          <a:ext cx="9461812" cy="37737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구입금액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4B562C45-8E76-429D-3B49-F4C51BA9CAD9}"/>
            </a:ext>
          </a:extLst>
        </xdr:cNvPr>
        <xdr:cNvSpPr/>
      </xdr:nvSpPr>
      <xdr:spPr>
        <a:xfrm>
          <a:off x="4200525" y="1047750"/>
          <a:ext cx="145732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9</xdr:row>
      <xdr:rowOff>0</xdr:rowOff>
    </xdr:from>
    <xdr:to>
      <xdr:col>7</xdr:col>
      <xdr:colOff>0</xdr:colOff>
      <xdr:row>21</xdr:row>
      <xdr:rowOff>214311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zoomScaleNormal="100" workbookViewId="0"/>
  </sheetViews>
  <sheetFormatPr defaultColWidth="9" defaultRowHeight="16.5" x14ac:dyDescent="0.3"/>
  <cols>
    <col min="1" max="1" width="12.625" style="4" customWidth="1"/>
    <col min="2" max="2" width="15.75" style="4" customWidth="1"/>
    <col min="3" max="3" width="12.375" style="4" bestFit="1" customWidth="1"/>
    <col min="4" max="4" width="17.75" style="4" customWidth="1"/>
    <col min="5" max="5" width="15.75" style="4" customWidth="1"/>
    <col min="6" max="16384" width="9" style="5"/>
  </cols>
  <sheetData>
    <row r="1" spans="1:6" x14ac:dyDescent="0.3">
      <c r="A1" s="3"/>
    </row>
    <row r="3" spans="1:6" x14ac:dyDescent="0.3">
      <c r="F3" s="4"/>
    </row>
    <row r="4" spans="1:6" x14ac:dyDescent="0.3">
      <c r="B4" s="14"/>
      <c r="C4" s="13"/>
      <c r="D4" s="6"/>
      <c r="E4" s="14"/>
      <c r="F4" s="4"/>
    </row>
    <row r="5" spans="1:6" x14ac:dyDescent="0.3">
      <c r="B5" s="14"/>
      <c r="C5" s="13"/>
      <c r="D5" s="6"/>
      <c r="E5" s="14"/>
      <c r="F5" s="4"/>
    </row>
    <row r="6" spans="1:6" x14ac:dyDescent="0.3">
      <c r="B6" s="14"/>
      <c r="C6" s="13"/>
      <c r="D6" s="6"/>
      <c r="E6" s="14"/>
      <c r="F6" s="4"/>
    </row>
    <row r="7" spans="1:6" x14ac:dyDescent="0.3">
      <c r="B7" s="14"/>
      <c r="C7" s="13"/>
      <c r="D7" s="6"/>
      <c r="E7" s="14"/>
      <c r="F7" s="4"/>
    </row>
    <row r="8" spans="1:6" x14ac:dyDescent="0.3">
      <c r="B8" s="14"/>
      <c r="C8" s="13"/>
      <c r="D8" s="6"/>
      <c r="E8" s="14"/>
      <c r="F8" s="4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9"/>
  <sheetViews>
    <sheetView zoomScale="115" zoomScaleNormal="115" workbookViewId="0">
      <selection activeCell="I5" sqref="I5"/>
    </sheetView>
  </sheetViews>
  <sheetFormatPr defaultColWidth="9" defaultRowHeight="16.5" x14ac:dyDescent="0.3"/>
  <cols>
    <col min="4" max="4" width="11.875" customWidth="1"/>
    <col min="5" max="5" width="24.75" bestFit="1" customWidth="1"/>
    <col min="6" max="6" width="11.875" customWidth="1"/>
    <col min="7" max="7" width="10" bestFit="1" customWidth="1"/>
  </cols>
  <sheetData>
    <row r="1" spans="1:9" ht="26.25" x14ac:dyDescent="0.3">
      <c r="A1" s="29" t="s">
        <v>22</v>
      </c>
      <c r="B1" s="30"/>
      <c r="C1" s="30"/>
      <c r="D1" s="30"/>
      <c r="E1" s="30"/>
      <c r="F1" s="30"/>
      <c r="G1" s="30"/>
      <c r="H1" s="30"/>
      <c r="I1" s="30"/>
    </row>
    <row r="2" spans="1:9" ht="17.25" thickBot="1" x14ac:dyDescent="0.35"/>
    <row r="3" spans="1:9" x14ac:dyDescent="0.3">
      <c r="A3" s="32" t="s">
        <v>23</v>
      </c>
      <c r="B3" s="33" t="s">
        <v>30</v>
      </c>
      <c r="C3" s="33" t="s">
        <v>25</v>
      </c>
      <c r="D3" s="33" t="s">
        <v>172</v>
      </c>
      <c r="E3" s="33" t="s">
        <v>24</v>
      </c>
      <c r="F3" s="33" t="s">
        <v>28</v>
      </c>
      <c r="G3" s="33" t="s">
        <v>29</v>
      </c>
      <c r="H3" s="33" t="s">
        <v>26</v>
      </c>
      <c r="I3" s="34" t="s">
        <v>27</v>
      </c>
    </row>
    <row r="4" spans="1:9" x14ac:dyDescent="0.3">
      <c r="A4" s="35" t="s">
        <v>33</v>
      </c>
      <c r="B4" s="41" t="s">
        <v>31</v>
      </c>
      <c r="C4" s="9" t="s">
        <v>0</v>
      </c>
      <c r="D4" s="9" t="s">
        <v>44</v>
      </c>
      <c r="E4" s="31">
        <v>44655</v>
      </c>
      <c r="F4" s="9" t="s">
        <v>39</v>
      </c>
      <c r="G4" s="9">
        <v>125000</v>
      </c>
      <c r="H4" s="9" t="s">
        <v>55</v>
      </c>
      <c r="I4" s="36" t="s">
        <v>61</v>
      </c>
    </row>
    <row r="5" spans="1:9" x14ac:dyDescent="0.3">
      <c r="A5" s="35" t="s">
        <v>34</v>
      </c>
      <c r="B5" s="41"/>
      <c r="C5" s="9" t="s">
        <v>50</v>
      </c>
      <c r="D5" s="9" t="s">
        <v>45</v>
      </c>
      <c r="E5" s="31">
        <v>44655</v>
      </c>
      <c r="F5" s="9" t="s">
        <v>40</v>
      </c>
      <c r="G5" s="9">
        <v>110000</v>
      </c>
      <c r="H5" s="9" t="s">
        <v>56</v>
      </c>
      <c r="I5" s="36"/>
    </row>
    <row r="6" spans="1:9" x14ac:dyDescent="0.3">
      <c r="A6" s="35" t="s">
        <v>35</v>
      </c>
      <c r="B6" s="41"/>
      <c r="C6" s="9" t="s">
        <v>51</v>
      </c>
      <c r="D6" s="9" t="s">
        <v>46</v>
      </c>
      <c r="E6" s="31">
        <v>44657</v>
      </c>
      <c r="F6" s="9" t="s">
        <v>39</v>
      </c>
      <c r="G6" s="9">
        <v>125000</v>
      </c>
      <c r="H6" s="9" t="s">
        <v>57</v>
      </c>
      <c r="I6" s="36" t="s">
        <v>62</v>
      </c>
    </row>
    <row r="7" spans="1:9" x14ac:dyDescent="0.3">
      <c r="A7" s="35" t="s">
        <v>36</v>
      </c>
      <c r="B7" s="41" t="s">
        <v>32</v>
      </c>
      <c r="C7" s="9" t="s">
        <v>52</v>
      </c>
      <c r="D7" s="9" t="s">
        <v>47</v>
      </c>
      <c r="E7" s="31">
        <v>44657</v>
      </c>
      <c r="F7" s="9" t="s">
        <v>41</v>
      </c>
      <c r="G7" s="9">
        <v>140000</v>
      </c>
      <c r="H7" s="9" t="s">
        <v>58</v>
      </c>
      <c r="I7" s="36"/>
    </row>
    <row r="8" spans="1:9" x14ac:dyDescent="0.3">
      <c r="A8" s="35" t="s">
        <v>37</v>
      </c>
      <c r="B8" s="41"/>
      <c r="C8" s="9" t="s">
        <v>53</v>
      </c>
      <c r="D8" s="9" t="s">
        <v>48</v>
      </c>
      <c r="E8" s="31">
        <v>44657</v>
      </c>
      <c r="F8" s="9" t="s">
        <v>42</v>
      </c>
      <c r="G8" s="9">
        <v>135000</v>
      </c>
      <c r="H8" s="9" t="s">
        <v>59</v>
      </c>
      <c r="I8" s="36"/>
    </row>
    <row r="9" spans="1:9" ht="17.25" thickBot="1" x14ac:dyDescent="0.35">
      <c r="A9" s="37" t="s">
        <v>38</v>
      </c>
      <c r="B9" s="42"/>
      <c r="C9" s="38" t="s">
        <v>54</v>
      </c>
      <c r="D9" s="38" t="s">
        <v>49</v>
      </c>
      <c r="E9" s="39">
        <v>44658</v>
      </c>
      <c r="F9" s="38" t="s">
        <v>43</v>
      </c>
      <c r="G9" s="38">
        <v>135000</v>
      </c>
      <c r="H9" s="38" t="s">
        <v>60</v>
      </c>
      <c r="I9" s="40" t="s">
        <v>62</v>
      </c>
    </row>
  </sheetData>
  <mergeCells count="2">
    <mergeCell ref="B4:B6"/>
    <mergeCell ref="B7:B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="115" zoomScaleNormal="115" workbookViewId="0">
      <selection activeCell="G3" sqref="G3"/>
    </sheetView>
  </sheetViews>
  <sheetFormatPr defaultColWidth="9" defaultRowHeight="16.5" x14ac:dyDescent="0.3"/>
  <sheetData>
    <row r="1" spans="1:1" x14ac:dyDescent="0.3">
      <c r="A1" t="s">
        <v>170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2"/>
  <sheetViews>
    <sheetView zoomScaleNormal="100" workbookViewId="0">
      <selection activeCell="G22" sqref="G22:H22"/>
    </sheetView>
  </sheetViews>
  <sheetFormatPr defaultRowHeight="16.5" x14ac:dyDescent="0.3"/>
  <cols>
    <col min="7" max="7" width="9.125" customWidth="1"/>
    <col min="8" max="8" width="12" customWidth="1"/>
  </cols>
  <sheetData>
    <row r="1" spans="1:8" x14ac:dyDescent="0.3">
      <c r="A1" t="s">
        <v>63</v>
      </c>
      <c r="G1" t="s">
        <v>104</v>
      </c>
      <c r="H1" s="15">
        <v>44654</v>
      </c>
    </row>
    <row r="2" spans="1:8" x14ac:dyDescent="0.3">
      <c r="A2" s="9" t="s">
        <v>64</v>
      </c>
      <c r="B2" s="9" t="s">
        <v>65</v>
      </c>
      <c r="C2" s="9" t="s">
        <v>66</v>
      </c>
      <c r="D2" s="10" t="s">
        <v>67</v>
      </c>
      <c r="E2" s="9" t="s">
        <v>68</v>
      </c>
      <c r="F2" s="9" t="s">
        <v>69</v>
      </c>
      <c r="G2" s="10" t="s">
        <v>71</v>
      </c>
      <c r="H2" s="10" t="s">
        <v>70</v>
      </c>
    </row>
    <row r="3" spans="1:8" x14ac:dyDescent="0.3">
      <c r="A3" s="9" t="s">
        <v>105</v>
      </c>
      <c r="B3" s="9" t="s">
        <v>107</v>
      </c>
      <c r="C3" s="9" t="s">
        <v>95</v>
      </c>
      <c r="D3" s="9" t="str">
        <f>IF(LEFT(A3,1)="A","지사",IF(LEFT(A3,1)="B","본사",""))</f>
        <v>지사</v>
      </c>
      <c r="E3" s="7">
        <v>95</v>
      </c>
      <c r="F3" s="7">
        <v>89</v>
      </c>
      <c r="G3" s="46" t="str">
        <f>YEAR($H$1)-(2000+MID(A3,4,2))&amp;"년"</f>
        <v>15년</v>
      </c>
      <c r="H3" s="9" t="str">
        <f>IF(_xlfn.RANK.EQ(F3,$F$3:$F$20)&lt;=3,CHOOSE(_xlfn.RANK.EQ(F3,$F$3:$F$20),"☆☆☆","☆☆","☆"),"")</f>
        <v>☆</v>
      </c>
    </row>
    <row r="4" spans="1:8" x14ac:dyDescent="0.3">
      <c r="A4" s="9" t="s">
        <v>81</v>
      </c>
      <c r="B4" s="9" t="s">
        <v>89</v>
      </c>
      <c r="C4" s="9" t="s">
        <v>94</v>
      </c>
      <c r="D4" s="9" t="str">
        <f t="shared" ref="D4:D20" si="0">IF(LEFT(A4,1)="A","지사",IF(LEFT(A4,1)="B","본사",""))</f>
        <v>본사</v>
      </c>
      <c r="E4" s="7">
        <v>90</v>
      </c>
      <c r="F4" s="7">
        <v>72</v>
      </c>
      <c r="G4" s="46" t="str">
        <f t="shared" ref="G4:G20" si="1">YEAR($H$1)-(2000+MID(A4,4,2))&amp;"년"</f>
        <v>4년</v>
      </c>
      <c r="H4" s="9" t="str">
        <f t="shared" ref="H4:H20" si="2">IF(_xlfn.RANK.EQ(F4,$F$3:$F$20)&lt;=3,CHOOSE(_xlfn.RANK.EQ(F4,$F$3:$F$20),"☆☆☆","☆☆","☆"),"")</f>
        <v/>
      </c>
    </row>
    <row r="5" spans="1:8" x14ac:dyDescent="0.3">
      <c r="A5" s="9" t="s">
        <v>73</v>
      </c>
      <c r="B5" s="9" t="s">
        <v>83</v>
      </c>
      <c r="C5" s="9" t="s">
        <v>92</v>
      </c>
      <c r="D5" s="9" t="str">
        <f t="shared" si="0"/>
        <v>본사</v>
      </c>
      <c r="E5" s="7">
        <v>55</v>
      </c>
      <c r="F5" s="7">
        <v>38</v>
      </c>
      <c r="G5" s="46" t="str">
        <f t="shared" si="1"/>
        <v>10년</v>
      </c>
      <c r="H5" s="9" t="str">
        <f t="shared" si="2"/>
        <v/>
      </c>
    </row>
    <row r="6" spans="1:8" x14ac:dyDescent="0.3">
      <c r="A6" s="9" t="s">
        <v>72</v>
      </c>
      <c r="B6" s="9" t="s">
        <v>84</v>
      </c>
      <c r="C6" s="9" t="s">
        <v>96</v>
      </c>
      <c r="D6" s="9" t="str">
        <f t="shared" si="0"/>
        <v>지사</v>
      </c>
      <c r="E6" s="7">
        <v>95</v>
      </c>
      <c r="F6" s="7">
        <v>79</v>
      </c>
      <c r="G6" s="46" t="str">
        <f t="shared" si="1"/>
        <v>21년</v>
      </c>
      <c r="H6" s="9" t="str">
        <f t="shared" si="2"/>
        <v/>
      </c>
    </row>
    <row r="7" spans="1:8" x14ac:dyDescent="0.3">
      <c r="A7" s="9" t="s">
        <v>73</v>
      </c>
      <c r="B7" s="9" t="s">
        <v>84</v>
      </c>
      <c r="C7" s="9" t="s">
        <v>97</v>
      </c>
      <c r="D7" s="9" t="str">
        <f t="shared" si="0"/>
        <v>본사</v>
      </c>
      <c r="E7" s="7">
        <v>80</v>
      </c>
      <c r="F7" s="7">
        <v>76</v>
      </c>
      <c r="G7" s="46" t="str">
        <f t="shared" si="1"/>
        <v>10년</v>
      </c>
      <c r="H7" s="9" t="str">
        <f t="shared" si="2"/>
        <v/>
      </c>
    </row>
    <row r="8" spans="1:8" x14ac:dyDescent="0.3">
      <c r="A8" s="9" t="s">
        <v>106</v>
      </c>
      <c r="B8" s="9" t="s">
        <v>108</v>
      </c>
      <c r="C8" s="9" t="s">
        <v>1</v>
      </c>
      <c r="D8" s="9" t="str">
        <f t="shared" si="0"/>
        <v/>
      </c>
      <c r="E8" s="9">
        <v>100</v>
      </c>
      <c r="F8" s="7">
        <v>72</v>
      </c>
      <c r="G8" s="46" t="str">
        <f t="shared" si="1"/>
        <v>13년</v>
      </c>
      <c r="H8" s="9" t="str">
        <f t="shared" si="2"/>
        <v/>
      </c>
    </row>
    <row r="9" spans="1:8" x14ac:dyDescent="0.3">
      <c r="A9" s="9" t="s">
        <v>102</v>
      </c>
      <c r="B9" s="9" t="s">
        <v>86</v>
      </c>
      <c r="C9" s="9" t="s">
        <v>99</v>
      </c>
      <c r="D9" s="9" t="str">
        <f t="shared" si="0"/>
        <v>본사</v>
      </c>
      <c r="E9" s="7">
        <v>80</v>
      </c>
      <c r="F9" s="7">
        <v>63</v>
      </c>
      <c r="G9" s="46" t="str">
        <f t="shared" si="1"/>
        <v>11년</v>
      </c>
      <c r="H9" s="9" t="str">
        <f t="shared" si="2"/>
        <v/>
      </c>
    </row>
    <row r="10" spans="1:8" x14ac:dyDescent="0.3">
      <c r="A10" s="9" t="s">
        <v>79</v>
      </c>
      <c r="B10" s="9" t="s">
        <v>88</v>
      </c>
      <c r="C10" s="9" t="s">
        <v>53</v>
      </c>
      <c r="D10" s="9" t="str">
        <f t="shared" si="0"/>
        <v/>
      </c>
      <c r="E10" s="7">
        <v>85</v>
      </c>
      <c r="F10" s="7">
        <v>79</v>
      </c>
      <c r="G10" s="46" t="str">
        <f t="shared" si="1"/>
        <v>15년</v>
      </c>
      <c r="H10" s="9" t="str">
        <f t="shared" si="2"/>
        <v/>
      </c>
    </row>
    <row r="11" spans="1:8" x14ac:dyDescent="0.3">
      <c r="A11" s="9" t="s">
        <v>75</v>
      </c>
      <c r="B11" s="9" t="s">
        <v>83</v>
      </c>
      <c r="C11" s="9" t="s">
        <v>0</v>
      </c>
      <c r="D11" s="9" t="str">
        <f t="shared" si="0"/>
        <v/>
      </c>
      <c r="E11" s="7">
        <v>80</v>
      </c>
      <c r="F11" s="7">
        <v>56</v>
      </c>
      <c r="G11" s="46" t="str">
        <f t="shared" si="1"/>
        <v>5년</v>
      </c>
      <c r="H11" s="9" t="str">
        <f t="shared" si="2"/>
        <v/>
      </c>
    </row>
    <row r="12" spans="1:8" x14ac:dyDescent="0.3">
      <c r="A12" s="9" t="s">
        <v>103</v>
      </c>
      <c r="B12" s="9" t="s">
        <v>84</v>
      </c>
      <c r="C12" s="9" t="s">
        <v>98</v>
      </c>
      <c r="D12" s="9" t="str">
        <f t="shared" si="0"/>
        <v>본사</v>
      </c>
      <c r="E12" s="7">
        <v>85</v>
      </c>
      <c r="F12" s="7">
        <v>57</v>
      </c>
      <c r="G12" s="46" t="str">
        <f t="shared" si="1"/>
        <v>8년</v>
      </c>
      <c r="H12" s="9" t="str">
        <f t="shared" si="2"/>
        <v/>
      </c>
    </row>
    <row r="13" spans="1:8" x14ac:dyDescent="0.3">
      <c r="A13" s="9" t="s">
        <v>74</v>
      </c>
      <c r="B13" s="9" t="s">
        <v>83</v>
      </c>
      <c r="C13" s="9" t="s">
        <v>93</v>
      </c>
      <c r="D13" s="9" t="str">
        <f t="shared" si="0"/>
        <v/>
      </c>
      <c r="E13" s="7">
        <v>35</v>
      </c>
      <c r="F13" s="7">
        <v>28</v>
      </c>
      <c r="G13" s="46" t="str">
        <f t="shared" si="1"/>
        <v>8년</v>
      </c>
      <c r="H13" s="9" t="str">
        <f t="shared" si="2"/>
        <v/>
      </c>
    </row>
    <row r="14" spans="1:8" x14ac:dyDescent="0.3">
      <c r="A14" s="9" t="s">
        <v>77</v>
      </c>
      <c r="B14" s="9" t="s">
        <v>86</v>
      </c>
      <c r="C14" s="9" t="s">
        <v>50</v>
      </c>
      <c r="D14" s="9" t="str">
        <f t="shared" si="0"/>
        <v>지사</v>
      </c>
      <c r="E14" s="7">
        <v>75</v>
      </c>
      <c r="F14" s="7">
        <v>74</v>
      </c>
      <c r="G14" s="46" t="str">
        <f t="shared" si="1"/>
        <v>16년</v>
      </c>
      <c r="H14" s="9" t="str">
        <f t="shared" si="2"/>
        <v/>
      </c>
    </row>
    <row r="15" spans="1:8" x14ac:dyDescent="0.3">
      <c r="A15" s="9" t="s">
        <v>80</v>
      </c>
      <c r="B15" s="9" t="s">
        <v>89</v>
      </c>
      <c r="C15" s="9" t="s">
        <v>54</v>
      </c>
      <c r="D15" s="9" t="str">
        <f t="shared" si="0"/>
        <v>지사</v>
      </c>
      <c r="E15" s="7">
        <v>75</v>
      </c>
      <c r="F15" s="7">
        <v>36</v>
      </c>
      <c r="G15" s="46" t="str">
        <f t="shared" si="1"/>
        <v>20년</v>
      </c>
      <c r="H15" s="9" t="str">
        <f t="shared" si="2"/>
        <v/>
      </c>
    </row>
    <row r="16" spans="1:8" x14ac:dyDescent="0.3">
      <c r="A16" s="9" t="s">
        <v>78</v>
      </c>
      <c r="B16" s="9" t="s">
        <v>87</v>
      </c>
      <c r="C16" s="9" t="s">
        <v>52</v>
      </c>
      <c r="D16" s="9" t="str">
        <f t="shared" si="0"/>
        <v/>
      </c>
      <c r="E16" s="7">
        <v>65</v>
      </c>
      <c r="F16" s="7">
        <v>77</v>
      </c>
      <c r="G16" s="46" t="str">
        <f t="shared" si="1"/>
        <v>11년</v>
      </c>
      <c r="H16" s="9" t="str">
        <f t="shared" si="2"/>
        <v/>
      </c>
    </row>
    <row r="17" spans="1:8" x14ac:dyDescent="0.3">
      <c r="A17" s="9" t="s">
        <v>82</v>
      </c>
      <c r="B17" s="9" t="s">
        <v>90</v>
      </c>
      <c r="C17" s="9" t="s">
        <v>100</v>
      </c>
      <c r="D17" s="9" t="str">
        <f t="shared" si="0"/>
        <v/>
      </c>
      <c r="E17" s="9">
        <v>95</v>
      </c>
      <c r="F17" s="7">
        <v>93</v>
      </c>
      <c r="G17" s="46" t="str">
        <f t="shared" si="1"/>
        <v>13년</v>
      </c>
      <c r="H17" s="9" t="str">
        <f t="shared" si="2"/>
        <v>☆☆☆</v>
      </c>
    </row>
    <row r="18" spans="1:8" x14ac:dyDescent="0.3">
      <c r="A18" s="9" t="s">
        <v>76</v>
      </c>
      <c r="B18" s="9" t="s">
        <v>87</v>
      </c>
      <c r="C18" s="9" t="s">
        <v>51</v>
      </c>
      <c r="D18" s="9" t="str">
        <f t="shared" si="0"/>
        <v>본사</v>
      </c>
      <c r="E18" s="7">
        <v>55</v>
      </c>
      <c r="F18" s="7">
        <v>54</v>
      </c>
      <c r="G18" s="46" t="str">
        <f t="shared" si="1"/>
        <v>11년</v>
      </c>
      <c r="H18" s="9" t="str">
        <f t="shared" si="2"/>
        <v/>
      </c>
    </row>
    <row r="19" spans="1:8" x14ac:dyDescent="0.3">
      <c r="A19" s="9" t="s">
        <v>72</v>
      </c>
      <c r="B19" s="9" t="s">
        <v>85</v>
      </c>
      <c r="C19" s="9" t="s">
        <v>101</v>
      </c>
      <c r="D19" s="9" t="str">
        <f t="shared" si="0"/>
        <v>지사</v>
      </c>
      <c r="E19" s="9">
        <v>90</v>
      </c>
      <c r="F19" s="7">
        <v>91</v>
      </c>
      <c r="G19" s="46" t="str">
        <f t="shared" si="1"/>
        <v>21년</v>
      </c>
      <c r="H19" s="9" t="str">
        <f t="shared" si="2"/>
        <v>☆☆</v>
      </c>
    </row>
    <row r="20" spans="1:8" x14ac:dyDescent="0.3">
      <c r="A20" s="9" t="s">
        <v>72</v>
      </c>
      <c r="B20" s="9" t="s">
        <v>83</v>
      </c>
      <c r="C20" s="9" t="s">
        <v>91</v>
      </c>
      <c r="D20" s="9" t="str">
        <f t="shared" si="0"/>
        <v>지사</v>
      </c>
      <c r="E20" s="7">
        <v>90</v>
      </c>
      <c r="F20" s="7">
        <v>82</v>
      </c>
      <c r="G20" s="46" t="str">
        <f t="shared" si="1"/>
        <v>21년</v>
      </c>
      <c r="H20" s="9" t="str">
        <f t="shared" si="2"/>
        <v/>
      </c>
    </row>
    <row r="21" spans="1:8" x14ac:dyDescent="0.3">
      <c r="A21" s="43" t="s">
        <v>110</v>
      </c>
      <c r="B21" s="43"/>
      <c r="C21" s="43"/>
      <c r="D21" s="43"/>
      <c r="E21" s="43"/>
      <c r="F21" s="43"/>
      <c r="G21" s="41" t="str">
        <f>INDEX(C3:C20,MATCH(MAX(E3:E20),E3:E20,0))</f>
        <v>강경순</v>
      </c>
      <c r="H21" s="41"/>
    </row>
    <row r="22" spans="1:8" x14ac:dyDescent="0.3">
      <c r="A22" s="43" t="s">
        <v>109</v>
      </c>
      <c r="B22" s="43"/>
      <c r="C22" s="43"/>
      <c r="D22" s="43"/>
      <c r="E22" s="43"/>
      <c r="F22" s="43"/>
      <c r="G22" s="41">
        <f>ROUND(DAVERAGE(A2:H20,F2,B2:B3),2)</f>
        <v>72.67</v>
      </c>
      <c r="H22" s="41"/>
    </row>
  </sheetData>
  <sortState xmlns:xlrd2="http://schemas.microsoft.com/office/spreadsheetml/2017/richdata2" ref="A3:H20">
    <sortCondition ref="D3:D20"/>
  </sortState>
  <mergeCells count="4">
    <mergeCell ref="A21:F21"/>
    <mergeCell ref="G21:H21"/>
    <mergeCell ref="A22:F22"/>
    <mergeCell ref="G22:H22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9"/>
  <sheetViews>
    <sheetView workbookViewId="0">
      <selection activeCell="F4" sqref="F4:J9"/>
    </sheetView>
  </sheetViews>
  <sheetFormatPr defaultRowHeight="16.5" x14ac:dyDescent="0.3"/>
  <cols>
    <col min="2" max="2" width="10.375" bestFit="1" customWidth="1"/>
    <col min="4" max="4" width="3.375" bestFit="1" customWidth="1"/>
    <col min="5" max="5" width="10.625" customWidth="1"/>
    <col min="6" max="10" width="12.75" customWidth="1"/>
  </cols>
  <sheetData>
    <row r="1" spans="1:10" x14ac:dyDescent="0.3">
      <c r="A1" t="s">
        <v>111</v>
      </c>
      <c r="E1" t="s">
        <v>117</v>
      </c>
    </row>
    <row r="2" spans="1:10" x14ac:dyDescent="0.3">
      <c r="A2" s="1" t="s">
        <v>112</v>
      </c>
      <c r="B2" s="8">
        <v>12540</v>
      </c>
      <c r="F2" s="44" t="s">
        <v>112</v>
      </c>
      <c r="G2" s="44"/>
      <c r="H2" s="44"/>
      <c r="I2" s="44"/>
      <c r="J2" s="44"/>
    </row>
    <row r="3" spans="1:10" x14ac:dyDescent="0.3">
      <c r="A3" s="1" t="s">
        <v>113</v>
      </c>
      <c r="B3" s="16">
        <v>0.375</v>
      </c>
      <c r="E3" s="47">
        <f>B6</f>
        <v>1755600</v>
      </c>
      <c r="F3" s="17">
        <v>12450</v>
      </c>
      <c r="G3" s="17">
        <v>13450</v>
      </c>
      <c r="H3" s="17">
        <v>14450</v>
      </c>
      <c r="I3" s="17">
        <v>15450</v>
      </c>
      <c r="J3" s="17">
        <v>16450</v>
      </c>
    </row>
    <row r="4" spans="1:10" x14ac:dyDescent="0.3">
      <c r="A4" s="1" t="s">
        <v>114</v>
      </c>
      <c r="B4" s="16">
        <v>0.66666666666666663</v>
      </c>
      <c r="D4" s="45" t="s">
        <v>118</v>
      </c>
      <c r="E4" s="12">
        <v>20</v>
      </c>
      <c r="F4" s="8">
        <f t="dataTable" ref="F4:J9" dt2D="1" dtr="1" r1="B2" r2="B5"/>
        <v>1743000</v>
      </c>
      <c r="G4" s="8">
        <v>1883000</v>
      </c>
      <c r="H4" s="8">
        <v>2023000</v>
      </c>
      <c r="I4" s="8">
        <v>2163000</v>
      </c>
      <c r="J4" s="8">
        <v>2303000</v>
      </c>
    </row>
    <row r="5" spans="1:10" x14ac:dyDescent="0.3">
      <c r="A5" s="1" t="s">
        <v>115</v>
      </c>
      <c r="B5" s="1">
        <v>20</v>
      </c>
      <c r="D5" s="45"/>
      <c r="E5" s="12">
        <v>25</v>
      </c>
      <c r="F5" s="8">
        <v>2178750</v>
      </c>
      <c r="G5" s="8">
        <v>2353750</v>
      </c>
      <c r="H5" s="8">
        <v>2528750</v>
      </c>
      <c r="I5" s="8">
        <v>2703750</v>
      </c>
      <c r="J5" s="8">
        <v>2878750</v>
      </c>
    </row>
    <row r="6" spans="1:10" x14ac:dyDescent="0.3">
      <c r="A6" s="1" t="s">
        <v>116</v>
      </c>
      <c r="B6" s="8">
        <f>B2*HOUR(B4-B3)*B5</f>
        <v>1755600</v>
      </c>
      <c r="D6" s="45"/>
      <c r="E6" s="12">
        <v>30</v>
      </c>
      <c r="F6" s="8">
        <v>2614500</v>
      </c>
      <c r="G6" s="8">
        <v>2824500</v>
      </c>
      <c r="H6" s="8">
        <v>3034500</v>
      </c>
      <c r="I6" s="8">
        <v>3244500</v>
      </c>
      <c r="J6" s="8">
        <v>3454500</v>
      </c>
    </row>
    <row r="7" spans="1:10" x14ac:dyDescent="0.3">
      <c r="D7" s="45"/>
      <c r="E7" s="12">
        <v>35</v>
      </c>
      <c r="F7" s="8">
        <v>3050250</v>
      </c>
      <c r="G7" s="8">
        <v>3295250</v>
      </c>
      <c r="H7" s="8">
        <v>3540250</v>
      </c>
      <c r="I7" s="8">
        <v>3785250</v>
      </c>
      <c r="J7" s="8">
        <v>4030250</v>
      </c>
    </row>
    <row r="8" spans="1:10" x14ac:dyDescent="0.3">
      <c r="D8" s="45"/>
      <c r="E8" s="12">
        <v>40</v>
      </c>
      <c r="F8" s="8">
        <v>3486000</v>
      </c>
      <c r="G8" s="8">
        <v>3766000</v>
      </c>
      <c r="H8" s="8">
        <v>4046000</v>
      </c>
      <c r="I8" s="8">
        <v>4326000</v>
      </c>
      <c r="J8" s="8">
        <v>4606000</v>
      </c>
    </row>
    <row r="9" spans="1:10" x14ac:dyDescent="0.3">
      <c r="D9" s="45"/>
      <c r="E9" s="12">
        <v>45</v>
      </c>
      <c r="F9" s="8">
        <v>3921750</v>
      </c>
      <c r="G9" s="8">
        <v>4236750</v>
      </c>
      <c r="H9" s="8">
        <v>4551750</v>
      </c>
      <c r="I9" s="8">
        <v>4866750</v>
      </c>
      <c r="J9" s="8">
        <v>5181750</v>
      </c>
    </row>
  </sheetData>
  <mergeCells count="2">
    <mergeCell ref="F2:J2"/>
    <mergeCell ref="D4:D9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9"/>
  <sheetViews>
    <sheetView workbookViewId="0">
      <selection activeCell="H21" sqref="H21"/>
    </sheetView>
  </sheetViews>
  <sheetFormatPr defaultRowHeight="16.5" x14ac:dyDescent="0.3"/>
  <cols>
    <col min="1" max="1" width="9.5" bestFit="1" customWidth="1"/>
    <col min="2" max="2" width="11.25" bestFit="1" customWidth="1"/>
    <col min="3" max="3" width="14" bestFit="1" customWidth="1"/>
    <col min="4" max="4" width="9.125" customWidth="1"/>
  </cols>
  <sheetData>
    <row r="1" spans="1:4" x14ac:dyDescent="0.3">
      <c r="A1" t="s">
        <v>169</v>
      </c>
      <c r="C1" s="11"/>
    </row>
    <row r="2" spans="1:4" ht="16.899999999999999" customHeight="1" x14ac:dyDescent="0.3">
      <c r="A2" s="18" t="s">
        <v>132</v>
      </c>
      <c r="B2" s="18" t="s">
        <v>133</v>
      </c>
      <c r="C2" s="18" t="s">
        <v>134</v>
      </c>
      <c r="D2" s="18" t="s">
        <v>135</v>
      </c>
    </row>
    <row r="3" spans="1:4" ht="16.899999999999999" customHeight="1" x14ac:dyDescent="0.3">
      <c r="A3" s="19" t="s">
        <v>144</v>
      </c>
      <c r="B3" s="9" t="s">
        <v>52</v>
      </c>
      <c r="C3" s="25" t="s">
        <v>120</v>
      </c>
      <c r="D3" s="9" t="s">
        <v>145</v>
      </c>
    </row>
    <row r="4" spans="1:4" x14ac:dyDescent="0.3">
      <c r="A4" s="20" t="s">
        <v>148</v>
      </c>
      <c r="B4" s="9" t="s">
        <v>94</v>
      </c>
      <c r="C4" s="25" t="s">
        <v>123</v>
      </c>
      <c r="D4" s="9" t="s">
        <v>127</v>
      </c>
    </row>
    <row r="5" spans="1:4" x14ac:dyDescent="0.3">
      <c r="A5" s="24" t="s">
        <v>151</v>
      </c>
      <c r="B5" s="9" t="s">
        <v>152</v>
      </c>
      <c r="C5" s="9" t="s">
        <v>126</v>
      </c>
      <c r="D5" s="9" t="s">
        <v>145</v>
      </c>
    </row>
    <row r="6" spans="1:4" x14ac:dyDescent="0.3">
      <c r="A6" s="20" t="s">
        <v>155</v>
      </c>
      <c r="B6" s="9" t="s">
        <v>1</v>
      </c>
      <c r="C6" s="9" t="s">
        <v>130</v>
      </c>
      <c r="D6" s="9" t="s">
        <v>156</v>
      </c>
    </row>
    <row r="7" spans="1:4" x14ac:dyDescent="0.3">
      <c r="A7" s="21" t="s">
        <v>139</v>
      </c>
      <c r="B7" s="9" t="s">
        <v>93</v>
      </c>
      <c r="C7" s="25" t="s">
        <v>46</v>
      </c>
      <c r="D7" s="9" t="s">
        <v>119</v>
      </c>
    </row>
    <row r="8" spans="1:4" x14ac:dyDescent="0.3">
      <c r="A8" s="19" t="s">
        <v>136</v>
      </c>
      <c r="B8" s="9" t="s">
        <v>51</v>
      </c>
      <c r="C8" s="9" t="s">
        <v>49</v>
      </c>
      <c r="D8" s="9" t="s">
        <v>143</v>
      </c>
    </row>
    <row r="9" spans="1:4" ht="16.899999999999999" customHeight="1" x14ac:dyDescent="0.3">
      <c r="A9" s="19" t="s">
        <v>146</v>
      </c>
      <c r="B9" s="9" t="s">
        <v>53</v>
      </c>
      <c r="C9" s="9" t="s">
        <v>121</v>
      </c>
      <c r="D9" s="9" t="s">
        <v>119</v>
      </c>
    </row>
    <row r="10" spans="1:4" x14ac:dyDescent="0.3">
      <c r="A10" s="24" t="s">
        <v>157</v>
      </c>
      <c r="B10" s="9" t="s">
        <v>100</v>
      </c>
      <c r="C10" s="9" t="s">
        <v>131</v>
      </c>
      <c r="D10" s="9" t="s">
        <v>143</v>
      </c>
    </row>
    <row r="11" spans="1:4" x14ac:dyDescent="0.3">
      <c r="A11" s="19" t="s">
        <v>136</v>
      </c>
      <c r="B11" s="9" t="s">
        <v>91</v>
      </c>
      <c r="C11" s="25" t="s">
        <v>44</v>
      </c>
      <c r="D11" s="9" t="s">
        <v>20</v>
      </c>
    </row>
    <row r="12" spans="1:4" x14ac:dyDescent="0.3">
      <c r="A12" s="22" t="s">
        <v>142</v>
      </c>
      <c r="B12" s="9" t="s">
        <v>50</v>
      </c>
      <c r="C12" s="25" t="s">
        <v>48</v>
      </c>
      <c r="D12" s="9" t="s">
        <v>20</v>
      </c>
    </row>
    <row r="13" spans="1:4" x14ac:dyDescent="0.3">
      <c r="A13" s="20" t="s">
        <v>137</v>
      </c>
      <c r="B13" s="9" t="s">
        <v>92</v>
      </c>
      <c r="C13" s="9" t="s">
        <v>45</v>
      </c>
      <c r="D13" s="9" t="s">
        <v>138</v>
      </c>
    </row>
    <row r="14" spans="1:4" x14ac:dyDescent="0.3">
      <c r="A14" s="24" t="s">
        <v>150</v>
      </c>
      <c r="B14" s="9" t="s">
        <v>96</v>
      </c>
      <c r="C14" s="9" t="s">
        <v>125</v>
      </c>
      <c r="D14" s="9" t="s">
        <v>20</v>
      </c>
    </row>
    <row r="15" spans="1:4" ht="16.899999999999999" customHeight="1" x14ac:dyDescent="0.3">
      <c r="A15" s="24" t="s">
        <v>151</v>
      </c>
      <c r="B15" s="9" t="s">
        <v>99</v>
      </c>
      <c r="C15" s="9" t="s">
        <v>129</v>
      </c>
      <c r="D15" s="9" t="s">
        <v>154</v>
      </c>
    </row>
    <row r="16" spans="1:4" x14ac:dyDescent="0.3">
      <c r="A16" s="23" t="s">
        <v>149</v>
      </c>
      <c r="B16" s="9" t="s">
        <v>95</v>
      </c>
      <c r="C16" s="25" t="s">
        <v>124</v>
      </c>
      <c r="D16" s="9" t="s">
        <v>21</v>
      </c>
    </row>
    <row r="17" spans="1:4" x14ac:dyDescent="0.3">
      <c r="A17" s="23" t="s">
        <v>153</v>
      </c>
      <c r="B17" s="9" t="s">
        <v>98</v>
      </c>
      <c r="C17" s="25" t="s">
        <v>128</v>
      </c>
      <c r="D17" s="9" t="s">
        <v>21</v>
      </c>
    </row>
    <row r="18" spans="1:4" ht="16.899999999999999" customHeight="1" x14ac:dyDescent="0.3">
      <c r="A18" s="22" t="s">
        <v>140</v>
      </c>
      <c r="B18" s="9" t="s">
        <v>0</v>
      </c>
      <c r="C18" s="9" t="s">
        <v>47</v>
      </c>
      <c r="D18" s="9" t="s">
        <v>141</v>
      </c>
    </row>
    <row r="19" spans="1:4" x14ac:dyDescent="0.3">
      <c r="A19" s="22" t="s">
        <v>147</v>
      </c>
      <c r="B19" s="9" t="s">
        <v>54</v>
      </c>
      <c r="C19" s="9" t="s">
        <v>122</v>
      </c>
      <c r="D19" s="9" t="s">
        <v>141</v>
      </c>
    </row>
  </sheetData>
  <sortState xmlns:xlrd2="http://schemas.microsoft.com/office/spreadsheetml/2017/richdata2" ref="A3:D19">
    <sortCondition ref="D3:D19" customList="서울,인천,춘천,원주"/>
    <sortCondition sortBy="cellColor" ref="C3:C19" dxfId="0"/>
  </sortState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8"/>
  <sheetViews>
    <sheetView workbookViewId="0">
      <selection activeCell="H9" sqref="H9"/>
    </sheetView>
  </sheetViews>
  <sheetFormatPr defaultRowHeight="16.5" x14ac:dyDescent="0.3"/>
  <cols>
    <col min="1" max="1" width="10.125" customWidth="1"/>
    <col min="8" max="8" width="10.125" customWidth="1"/>
  </cols>
  <sheetData>
    <row r="1" spans="1:5" x14ac:dyDescent="0.3">
      <c r="A1" t="s">
        <v>2</v>
      </c>
      <c r="D1" s="26" t="s">
        <v>158</v>
      </c>
      <c r="E1" s="27">
        <v>0.15</v>
      </c>
    </row>
    <row r="2" spans="1:5" x14ac:dyDescent="0.3">
      <c r="A2" s="28" t="s">
        <v>3</v>
      </c>
      <c r="B2" s="28" t="s">
        <v>4</v>
      </c>
      <c r="C2" s="28" t="s">
        <v>5</v>
      </c>
      <c r="D2" s="28" t="s">
        <v>6</v>
      </c>
      <c r="E2" s="28" t="s">
        <v>7</v>
      </c>
    </row>
    <row r="3" spans="1:5" x14ac:dyDescent="0.3">
      <c r="A3" s="9" t="s">
        <v>8</v>
      </c>
      <c r="B3" s="9" t="s">
        <v>9</v>
      </c>
      <c r="C3" s="8">
        <v>15000</v>
      </c>
      <c r="D3" s="1">
        <v>2</v>
      </c>
      <c r="E3" s="48">
        <f>(1-$E$1)*C3*D3</f>
        <v>25500</v>
      </c>
    </row>
    <row r="4" spans="1:5" x14ac:dyDescent="0.3">
      <c r="A4" s="9" t="s">
        <v>10</v>
      </c>
      <c r="B4" s="9" t="s">
        <v>11</v>
      </c>
      <c r="C4" s="8">
        <v>10000</v>
      </c>
      <c r="D4" s="1">
        <v>3</v>
      </c>
      <c r="E4" s="48">
        <f t="shared" ref="E4:E8" si="0">(1-$E$1)*C4*D4</f>
        <v>25500</v>
      </c>
    </row>
    <row r="5" spans="1:5" x14ac:dyDescent="0.3">
      <c r="A5" s="9" t="s">
        <v>13</v>
      </c>
      <c r="B5" s="9" t="s">
        <v>12</v>
      </c>
      <c r="C5" s="8">
        <v>7232</v>
      </c>
      <c r="D5" s="1">
        <v>1</v>
      </c>
      <c r="E5" s="48">
        <f t="shared" si="0"/>
        <v>6147.2</v>
      </c>
    </row>
    <row r="6" spans="1:5" x14ac:dyDescent="0.3">
      <c r="A6" s="9" t="s">
        <v>14</v>
      </c>
      <c r="B6" s="9" t="s">
        <v>15</v>
      </c>
      <c r="C6" s="8">
        <v>230</v>
      </c>
      <c r="D6" s="1">
        <v>20</v>
      </c>
      <c r="E6" s="48">
        <f t="shared" si="0"/>
        <v>3910</v>
      </c>
    </row>
    <row r="7" spans="1:5" x14ac:dyDescent="0.3">
      <c r="A7" s="9" t="s">
        <v>16</v>
      </c>
      <c r="B7" s="9" t="s">
        <v>17</v>
      </c>
      <c r="C7" s="8">
        <v>12840</v>
      </c>
      <c r="D7" s="1">
        <v>1</v>
      </c>
      <c r="E7" s="48">
        <f t="shared" si="0"/>
        <v>10914</v>
      </c>
    </row>
    <row r="8" spans="1:5" x14ac:dyDescent="0.3">
      <c r="A8" s="9" t="s">
        <v>18</v>
      </c>
      <c r="B8" s="9" t="s">
        <v>19</v>
      </c>
      <c r="C8" s="8">
        <v>8770</v>
      </c>
      <c r="D8" s="1">
        <v>2</v>
      </c>
      <c r="E8" s="48">
        <f t="shared" si="0"/>
        <v>14909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구입금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tabSelected="1" zoomScaleNormal="100" workbookViewId="0">
      <selection activeCell="J17" sqref="J17"/>
    </sheetView>
  </sheetViews>
  <sheetFormatPr defaultRowHeight="16.5" x14ac:dyDescent="0.3"/>
  <cols>
    <col min="1" max="1" width="5.25" customWidth="1"/>
    <col min="2" max="2" width="10.5" bestFit="1" customWidth="1"/>
    <col min="3" max="3" width="11.875" customWidth="1"/>
  </cols>
  <sheetData>
    <row r="1" spans="1:5" x14ac:dyDescent="0.3">
      <c r="B1" t="s">
        <v>168</v>
      </c>
    </row>
    <row r="2" spans="1:5" x14ac:dyDescent="0.3">
      <c r="B2" s="9" t="s">
        <v>159</v>
      </c>
      <c r="C2" s="9" t="s">
        <v>160</v>
      </c>
      <c r="D2" s="9" t="s">
        <v>166</v>
      </c>
      <c r="E2" s="9" t="s">
        <v>167</v>
      </c>
    </row>
    <row r="3" spans="1:5" x14ac:dyDescent="0.3">
      <c r="B3" s="9">
        <v>1</v>
      </c>
      <c r="C3" s="9" t="s">
        <v>171</v>
      </c>
      <c r="D3" s="9">
        <v>25</v>
      </c>
      <c r="E3" s="9">
        <v>5</v>
      </c>
    </row>
    <row r="4" spans="1:5" x14ac:dyDescent="0.3">
      <c r="B4" s="9">
        <v>2</v>
      </c>
      <c r="C4" s="9" t="s">
        <v>161</v>
      </c>
      <c r="D4" s="9">
        <v>21</v>
      </c>
      <c r="E4" s="9">
        <v>9</v>
      </c>
    </row>
    <row r="5" spans="1:5" x14ac:dyDescent="0.3">
      <c r="B5" s="9">
        <v>3</v>
      </c>
      <c r="C5" s="9" t="s">
        <v>162</v>
      </c>
      <c r="D5" s="9">
        <v>16</v>
      </c>
      <c r="E5" s="9">
        <v>14</v>
      </c>
    </row>
    <row r="6" spans="1:5" x14ac:dyDescent="0.3">
      <c r="B6" s="9">
        <v>4</v>
      </c>
      <c r="C6" s="9" t="s">
        <v>163</v>
      </c>
      <c r="D6" s="9">
        <v>12</v>
      </c>
      <c r="E6" s="9">
        <v>18</v>
      </c>
    </row>
    <row r="7" spans="1:5" x14ac:dyDescent="0.3">
      <c r="B7" s="9">
        <v>5</v>
      </c>
      <c r="C7" s="9" t="s">
        <v>164</v>
      </c>
      <c r="D7" s="9">
        <v>11</v>
      </c>
      <c r="E7" s="9">
        <v>19</v>
      </c>
    </row>
    <row r="8" spans="1:5" x14ac:dyDescent="0.3">
      <c r="B8" s="9">
        <v>6</v>
      </c>
      <c r="C8" s="9" t="s">
        <v>165</v>
      </c>
      <c r="D8" s="9">
        <v>5</v>
      </c>
      <c r="E8" s="9">
        <v>25</v>
      </c>
    </row>
    <row r="12" spans="1:5" x14ac:dyDescent="0.3">
      <c r="A12" s="2"/>
      <c r="B12" s="2"/>
    </row>
    <row r="13" spans="1:5" x14ac:dyDescent="0.3">
      <c r="A13" s="2"/>
      <c r="B13" s="2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2023-01-05T08:26:03Z</dcterms:modified>
</cp:coreProperties>
</file>