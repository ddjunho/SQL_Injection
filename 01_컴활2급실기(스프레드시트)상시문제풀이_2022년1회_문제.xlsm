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ybin2\Desktop\권준오\excel\문제풀이\01_컴활2급실기(스프레드시트)상시문제풀이_2022년1회\"/>
    </mc:Choice>
  </mc:AlternateContent>
  <xr:revisionPtr revIDLastSave="0" documentId="13_ncr:1_{4DE7EEF7-FF61-45A5-A5A5-8DC4DFF1766D}" xr6:coauthVersionLast="47" xr6:coauthVersionMax="47" xr10:uidLastSave="{00000000-0000-0000-0000-000000000000}"/>
  <bookViews>
    <workbookView xWindow="0" yWindow="1695" windowWidth="14175" windowHeight="8145" tabRatio="844" activeTab="6" xr2:uid="{00000000-000D-0000-FFFF-FFFF00000000}"/>
  </bookViews>
  <sheets>
    <sheet name="기본작업-1" sheetId="14" r:id="rId1"/>
    <sheet name="기본작업-2" sheetId="13" r:id="rId2"/>
    <sheet name="기본작업-3" sheetId="10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_xlcn.WorksheetConnection_분석작업1A2D16" hidden="1">'분석작업-1'!$A$2:$D$16</definedName>
    <definedName name="배점">'기본작업-2'!#REF!</definedName>
  </definedNames>
  <calcPr calcId="191029"/>
  <pivotCaches>
    <pivotCache cacheId="39" r:id="rId9"/>
  </pivotCaches>
  <extLst>
    <ext xmlns:x15="http://schemas.microsoft.com/office/spreadsheetml/2010/11/main" uri="{FCE2AD5D-F65C-4FA6-A056-5C36A1767C68}">
      <x15:dataModel>
        <x15:modelTables>
          <x15:modelTable id="범위" name="범위" connection="WorksheetConnection_분석작업-1!$A$2:$D$16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5" l="1"/>
  <c r="I22" i="5"/>
  <c r="D15" i="5"/>
  <c r="D16" i="5"/>
  <c r="D17" i="5"/>
  <c r="D18" i="5"/>
  <c r="D19" i="5"/>
  <c r="D20" i="5"/>
  <c r="D21" i="5"/>
  <c r="D14" i="5"/>
  <c r="I4" i="5"/>
  <c r="I5" i="5"/>
  <c r="I6" i="5"/>
  <c r="I7" i="5"/>
  <c r="I8" i="5"/>
  <c r="I9" i="5"/>
  <c r="I3" i="5"/>
  <c r="D4" i="5"/>
  <c r="D5" i="5"/>
  <c r="D6" i="5"/>
  <c r="D7" i="5"/>
  <c r="D8" i="5"/>
  <c r="D9" i="5"/>
  <c r="D3" i="5"/>
  <c r="I15" i="5"/>
  <c r="I16" i="5"/>
  <c r="I17" i="5"/>
  <c r="I18" i="5"/>
  <c r="I19" i="5"/>
  <c r="I20" i="5"/>
  <c r="I14" i="5"/>
  <c r="E14" i="10" l="1"/>
  <c r="H5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4" i="10"/>
  <c r="E13" i="10" l="1"/>
  <c r="E7" i="10"/>
  <c r="E16" i="10"/>
  <c r="E8" i="10"/>
  <c r="E15" i="10"/>
  <c r="E17" i="10"/>
  <c r="E9" i="10"/>
  <c r="E4" i="10"/>
  <c r="H6" i="10"/>
  <c r="E6" i="10"/>
  <c r="E18" i="10"/>
  <c r="E5" i="10"/>
  <c r="E11" i="10"/>
  <c r="E10" i="10"/>
  <c r="E1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041A05-1F85-4C8F-BDAB-5D0CD1E24FCA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6414D-50C4-48D0-ABDD-396C4BDD804B}" name="WorksheetConnection_분석작업-1!$A$2:$D$16" type="102" refreshedVersion="8" minRefreshableVersion="5">
    <extLst>
      <ext xmlns:x15="http://schemas.microsoft.com/office/spreadsheetml/2010/11/main" uri="{DE250136-89BD-433C-8126-D09CA5730AF9}">
        <x15:connection id="범위" autoDelete="1">
          <x15:rangePr sourceName="_xlcn.WorksheetConnection_분석작업1A2D16"/>
        </x15:connection>
      </ext>
    </extLst>
  </connection>
</connections>
</file>

<file path=xl/sharedStrings.xml><?xml version="1.0" encoding="utf-8"?>
<sst xmlns="http://schemas.openxmlformats.org/spreadsheetml/2006/main" count="286" uniqueCount="231">
  <si>
    <t>구분</t>
    <phoneticPr fontId="2" type="noConversion"/>
  </si>
  <si>
    <t>성명</t>
    <phoneticPr fontId="2" type="noConversion"/>
  </si>
  <si>
    <t>성명</t>
    <phoneticPr fontId="2" type="noConversion"/>
  </si>
  <si>
    <t>[표2]</t>
    <phoneticPr fontId="2" type="noConversion"/>
  </si>
  <si>
    <t>학과</t>
    <phoneticPr fontId="2" type="noConversion"/>
  </si>
  <si>
    <t>커뮤니케이션</t>
    <phoneticPr fontId="2" type="noConversion"/>
  </si>
  <si>
    <t>회계</t>
    <phoneticPr fontId="2" type="noConversion"/>
  </si>
  <si>
    <t>학생명</t>
    <phoneticPr fontId="2" type="noConversion"/>
  </si>
  <si>
    <t>합계</t>
    <phoneticPr fontId="2" type="noConversion"/>
  </si>
  <si>
    <t>학번</t>
    <phoneticPr fontId="2" type="noConversion"/>
  </si>
  <si>
    <t>이름</t>
    <phoneticPr fontId="2" type="noConversion"/>
  </si>
  <si>
    <t>윤경문</t>
  </si>
  <si>
    <t>박준희</t>
  </si>
  <si>
    <t>박하늘</t>
  </si>
  <si>
    <t>김세인</t>
  </si>
  <si>
    <t>홍주희</t>
  </si>
  <si>
    <t>김송희</t>
  </si>
  <si>
    <t>김대훈</t>
  </si>
  <si>
    <t>박병재</t>
  </si>
  <si>
    <t>이종희</t>
  </si>
  <si>
    <t>최서현</t>
  </si>
  <si>
    <t>임천규</t>
  </si>
  <si>
    <t>김지수</t>
  </si>
  <si>
    <t>임태헌</t>
  </si>
  <si>
    <t>김은지</t>
  </si>
  <si>
    <t>이다정</t>
  </si>
  <si>
    <t>컴퓨터활용 성적</t>
    <phoneticPr fontId="2" type="noConversion"/>
  </si>
  <si>
    <t>연도별 장학금 현황</t>
    <phoneticPr fontId="2" type="noConversion"/>
  </si>
  <si>
    <t>성적장학</t>
    <phoneticPr fontId="2" type="noConversion"/>
  </si>
  <si>
    <t>가계장학</t>
    <phoneticPr fontId="2" type="noConversion"/>
  </si>
  <si>
    <t>근로장학</t>
    <phoneticPr fontId="2" type="noConversion"/>
  </si>
  <si>
    <t>[표4]</t>
    <phoneticPr fontId="2" type="noConversion"/>
  </si>
  <si>
    <t>[표5]</t>
    <phoneticPr fontId="2" type="noConversion"/>
  </si>
  <si>
    <t>[표3]</t>
    <phoneticPr fontId="2" type="noConversion"/>
  </si>
  <si>
    <t>생년월일</t>
    <phoneticPr fontId="2" type="noConversion"/>
  </si>
  <si>
    <t>평점</t>
    <phoneticPr fontId="2" type="noConversion"/>
  </si>
  <si>
    <t>2016년</t>
    <phoneticPr fontId="2" type="noConversion"/>
  </si>
  <si>
    <t>2017년</t>
    <phoneticPr fontId="2" type="noConversion"/>
  </si>
  <si>
    <t>2018년</t>
    <phoneticPr fontId="2" type="noConversion"/>
  </si>
  <si>
    <t>2019년</t>
    <phoneticPr fontId="2" type="noConversion"/>
  </si>
  <si>
    <t>직원확보율</t>
    <phoneticPr fontId="2" type="noConversion"/>
  </si>
  <si>
    <t>우육</t>
  </si>
  <si>
    <t>돈육</t>
  </si>
  <si>
    <t>계육</t>
  </si>
  <si>
    <t>계</t>
  </si>
  <si>
    <t>년도</t>
    <phoneticPr fontId="2" type="noConversion"/>
  </si>
  <si>
    <t>육류 소비 현황</t>
    <phoneticPr fontId="2" type="noConversion"/>
  </si>
  <si>
    <t>전체소비량(KG)</t>
    <phoneticPr fontId="2" type="noConversion"/>
  </si>
  <si>
    <t>1인당소비량(KG)</t>
    <phoneticPr fontId="2" type="noConversion"/>
  </si>
  <si>
    <t>감소</t>
    <phoneticPr fontId="2" type="noConversion"/>
  </si>
  <si>
    <t>1학기중간</t>
    <phoneticPr fontId="2" type="noConversion"/>
  </si>
  <si>
    <t>1학기기말</t>
    <phoneticPr fontId="2" type="noConversion"/>
  </si>
  <si>
    <t>2학기중간</t>
    <phoneticPr fontId="2" type="noConversion"/>
  </si>
  <si>
    <t>2학기기말</t>
    <phoneticPr fontId="2" type="noConversion"/>
  </si>
  <si>
    <t>1학기합계</t>
    <phoneticPr fontId="2" type="noConversion"/>
  </si>
  <si>
    <t>2학기합계</t>
    <phoneticPr fontId="2" type="noConversion"/>
  </si>
  <si>
    <t xml:space="preserve">[표1] </t>
    <phoneticPr fontId="2" type="noConversion"/>
  </si>
  <si>
    <t>사원번호</t>
    <phoneticPr fontId="2" type="noConversion"/>
  </si>
  <si>
    <t>부서</t>
    <phoneticPr fontId="2" type="noConversion"/>
  </si>
  <si>
    <t>호봉</t>
    <phoneticPr fontId="2" type="noConversion"/>
  </si>
  <si>
    <t>인사</t>
    <phoneticPr fontId="2" type="noConversion"/>
  </si>
  <si>
    <t>2325-M-2000</t>
    <phoneticPr fontId="2" type="noConversion"/>
  </si>
  <si>
    <t>3848-P-2001</t>
    <phoneticPr fontId="2" type="noConversion"/>
  </si>
  <si>
    <t>1456-M-2002</t>
    <phoneticPr fontId="2" type="noConversion"/>
  </si>
  <si>
    <t>1489-P-2003</t>
    <phoneticPr fontId="2" type="noConversion"/>
  </si>
  <si>
    <t>2863-M-2005</t>
    <phoneticPr fontId="2" type="noConversion"/>
  </si>
  <si>
    <t>3517-P-2004</t>
    <phoneticPr fontId="2" type="noConversion"/>
  </si>
  <si>
    <t>마케팅팀</t>
    <phoneticPr fontId="2" type="noConversion"/>
  </si>
  <si>
    <t>생산팀</t>
    <phoneticPr fontId="2" type="noConversion"/>
  </si>
  <si>
    <t>마케팅팀</t>
    <phoneticPr fontId="2" type="noConversion"/>
  </si>
  <si>
    <t>생산팀</t>
    <phoneticPr fontId="2" type="noConversion"/>
  </si>
  <si>
    <t>생산팀</t>
    <phoneticPr fontId="2" type="noConversion"/>
  </si>
  <si>
    <t>생산팀</t>
    <phoneticPr fontId="2" type="noConversion"/>
  </si>
  <si>
    <t>사원번호</t>
    <phoneticPr fontId="2" type="noConversion"/>
  </si>
  <si>
    <t>입사일</t>
    <phoneticPr fontId="2" type="noConversion"/>
  </si>
  <si>
    <t>근속년수</t>
    <phoneticPr fontId="2" type="noConversion"/>
  </si>
  <si>
    <t>KP-330401</t>
    <phoneticPr fontId="2" type="noConversion"/>
  </si>
  <si>
    <t>KP-240923</t>
    <phoneticPr fontId="2" type="noConversion"/>
  </si>
  <si>
    <t>KP-211111</t>
    <phoneticPr fontId="2" type="noConversion"/>
  </si>
  <si>
    <t>KP-230127</t>
    <phoneticPr fontId="2" type="noConversion"/>
  </si>
  <si>
    <t>KP-350507</t>
    <phoneticPr fontId="2" type="noConversion"/>
  </si>
  <si>
    <t>KP-372412</t>
    <phoneticPr fontId="2" type="noConversion"/>
  </si>
  <si>
    <t>KP-251122</t>
    <phoneticPr fontId="2" type="noConversion"/>
  </si>
  <si>
    <t>한성권</t>
    <phoneticPr fontId="2" type="noConversion"/>
  </si>
  <si>
    <t>김미정</t>
    <phoneticPr fontId="2" type="noConversion"/>
  </si>
  <si>
    <t>곽영애</t>
    <phoneticPr fontId="2" type="noConversion"/>
  </si>
  <si>
    <t>곽복규</t>
    <phoneticPr fontId="2" type="noConversion"/>
  </si>
  <si>
    <t>김우영</t>
    <phoneticPr fontId="2" type="noConversion"/>
  </si>
  <si>
    <t>박미숙</t>
    <phoneticPr fontId="2" type="noConversion"/>
  </si>
  <si>
    <t>이봉숙</t>
    <phoneticPr fontId="2" type="noConversion"/>
  </si>
  <si>
    <t>조현미</t>
    <phoneticPr fontId="2" type="noConversion"/>
  </si>
  <si>
    <t>최진환</t>
    <phoneticPr fontId="2" type="noConversion"/>
  </si>
  <si>
    <t>김은미</t>
    <phoneticPr fontId="2" type="noConversion"/>
  </si>
  <si>
    <t>강수진</t>
    <phoneticPr fontId="2" type="noConversion"/>
  </si>
  <si>
    <t>허성무</t>
    <phoneticPr fontId="2" type="noConversion"/>
  </si>
  <si>
    <t>김성환</t>
    <phoneticPr fontId="2" type="noConversion"/>
  </si>
  <si>
    <t>이원기</t>
    <phoneticPr fontId="2" type="noConversion"/>
  </si>
  <si>
    <t>곽봉규</t>
    <phoneticPr fontId="2" type="noConversion"/>
  </si>
  <si>
    <t>연수성적</t>
    <phoneticPr fontId="2" type="noConversion"/>
  </si>
  <si>
    <t>인사고과</t>
    <phoneticPr fontId="2" type="noConversion"/>
  </si>
  <si>
    <t>인사고과 가장 높은 사람 이름</t>
    <phoneticPr fontId="2" type="noConversion"/>
  </si>
  <si>
    <t>홍재근</t>
    <phoneticPr fontId="2" type="noConversion"/>
  </si>
  <si>
    <t>공은주</t>
    <phoneticPr fontId="2" type="noConversion"/>
  </si>
  <si>
    <t>곽경미</t>
    <phoneticPr fontId="2" type="noConversion"/>
  </si>
  <si>
    <t>곽명식</t>
    <phoneticPr fontId="2" type="noConversion"/>
  </si>
  <si>
    <t>김동철</t>
    <phoneticPr fontId="2" type="noConversion"/>
  </si>
  <si>
    <t>신은희</t>
    <phoneticPr fontId="2" type="noConversion"/>
  </si>
  <si>
    <t>박준홍</t>
    <phoneticPr fontId="2" type="noConversion"/>
  </si>
  <si>
    <t>우명관</t>
    <phoneticPr fontId="2" type="noConversion"/>
  </si>
  <si>
    <t>유경자</t>
    <phoneticPr fontId="2" type="noConversion"/>
  </si>
  <si>
    <t>이성룡</t>
    <phoneticPr fontId="2" type="noConversion"/>
  </si>
  <si>
    <t>장현진</t>
    <phoneticPr fontId="2" type="noConversion"/>
  </si>
  <si>
    <t>전희자</t>
    <phoneticPr fontId="2" type="noConversion"/>
  </si>
  <si>
    <t>조영관</t>
    <phoneticPr fontId="2" type="noConversion"/>
  </si>
  <si>
    <t>홍정남</t>
    <phoneticPr fontId="2" type="noConversion"/>
  </si>
  <si>
    <t>이승렬</t>
    <phoneticPr fontId="2" type="noConversion"/>
  </si>
  <si>
    <t>부서</t>
    <phoneticPr fontId="2" type="noConversion"/>
  </si>
  <si>
    <t>영업부</t>
    <phoneticPr fontId="2" type="noConversion"/>
  </si>
  <si>
    <t>생산부</t>
    <phoneticPr fontId="2" type="noConversion"/>
  </si>
  <si>
    <t>생산부</t>
    <phoneticPr fontId="2" type="noConversion"/>
  </si>
  <si>
    <t>영업부</t>
    <phoneticPr fontId="2" type="noConversion"/>
  </si>
  <si>
    <t>영업부</t>
    <phoneticPr fontId="2" type="noConversion"/>
  </si>
  <si>
    <t>인사부</t>
    <phoneticPr fontId="2" type="noConversion"/>
  </si>
  <si>
    <t>인사부</t>
    <phoneticPr fontId="2" type="noConversion"/>
  </si>
  <si>
    <t>연수성적</t>
    <phoneticPr fontId="2" type="noConversion"/>
  </si>
  <si>
    <t>생산부 직원 연수성적 평균</t>
    <phoneticPr fontId="2" type="noConversion"/>
  </si>
  <si>
    <t>소득공제</t>
    <phoneticPr fontId="14" type="noConversion"/>
  </si>
  <si>
    <t>소득공제내용</t>
    <phoneticPr fontId="14" type="noConversion"/>
  </si>
  <si>
    <t>법인명</t>
    <phoneticPr fontId="14" type="noConversion"/>
  </si>
  <si>
    <t>금액</t>
    <phoneticPr fontId="14" type="noConversion"/>
  </si>
  <si>
    <t>일반의료비</t>
  </si>
  <si>
    <t>간소화자료</t>
  </si>
  <si>
    <t>신용카드</t>
  </si>
  <si>
    <t>대중교통</t>
  </si>
  <si>
    <t>현금영수증</t>
  </si>
  <si>
    <t>일반사용분</t>
  </si>
  <si>
    <t>중앙병원</t>
    <phoneticPr fontId="2" type="noConversion"/>
  </si>
  <si>
    <t>기풍카드</t>
    <phoneticPr fontId="2" type="noConversion"/>
  </si>
  <si>
    <t>기풍카드</t>
    <phoneticPr fontId="2" type="noConversion"/>
  </si>
  <si>
    <t>기풍카드</t>
    <phoneticPr fontId="2" type="noConversion"/>
  </si>
  <si>
    <t>기풍카드</t>
    <phoneticPr fontId="2" type="noConversion"/>
  </si>
  <si>
    <t>하나의원</t>
    <phoneticPr fontId="2" type="noConversion"/>
  </si>
  <si>
    <t>하나의원</t>
    <phoneticPr fontId="2" type="noConversion"/>
  </si>
  <si>
    <t>하나의원</t>
    <phoneticPr fontId="2" type="noConversion"/>
  </si>
  <si>
    <t>중앙의원</t>
    <phoneticPr fontId="2" type="noConversion"/>
  </si>
  <si>
    <t>중앙의원</t>
    <phoneticPr fontId="2" type="noConversion"/>
  </si>
  <si>
    <t>중앙의원</t>
    <phoneticPr fontId="2" type="noConversion"/>
  </si>
  <si>
    <t>대중교통</t>
    <phoneticPr fontId="2" type="noConversion"/>
  </si>
  <si>
    <t>현금영수증</t>
    <phoneticPr fontId="2" type="noConversion"/>
  </si>
  <si>
    <t>조희숙</t>
    <phoneticPr fontId="2" type="noConversion"/>
  </si>
  <si>
    <t>김상덕</t>
    <phoneticPr fontId="2" type="noConversion"/>
  </si>
  <si>
    <t>박준홍</t>
    <phoneticPr fontId="2" type="noConversion"/>
  </si>
  <si>
    <t>남</t>
    <phoneticPr fontId="2" type="noConversion"/>
  </si>
  <si>
    <t>경기도 수원</t>
    <phoneticPr fontId="2" type="noConversion"/>
  </si>
  <si>
    <t>경기도 안성</t>
    <phoneticPr fontId="2" type="noConversion"/>
  </si>
  <si>
    <t>인천</t>
    <phoneticPr fontId="2" type="noConversion"/>
  </si>
  <si>
    <t>원주</t>
    <phoneticPr fontId="2" type="noConversion"/>
  </si>
  <si>
    <t>경기도 시흥</t>
    <phoneticPr fontId="2" type="noConversion"/>
  </si>
  <si>
    <t>경기도 성남</t>
    <phoneticPr fontId="2" type="noConversion"/>
  </si>
  <si>
    <t>[표1]</t>
    <phoneticPr fontId="2" type="noConversion"/>
  </si>
  <si>
    <t>영화</t>
    <phoneticPr fontId="2" type="noConversion"/>
  </si>
  <si>
    <t>다운로드수</t>
    <phoneticPr fontId="2" type="noConversion"/>
  </si>
  <si>
    <t>환율</t>
    <phoneticPr fontId="2" type="noConversion"/>
  </si>
  <si>
    <t>금액</t>
    <phoneticPr fontId="2" type="noConversion"/>
  </si>
  <si>
    <t>그녀는 살아 있다.</t>
    <phoneticPr fontId="2" type="noConversion"/>
  </si>
  <si>
    <t>컨저링3</t>
    <phoneticPr fontId="2" type="noConversion"/>
  </si>
  <si>
    <t>부산행</t>
    <phoneticPr fontId="2" type="noConversion"/>
  </si>
  <si>
    <t>요로나이 저주</t>
    <phoneticPr fontId="2" type="noConversion"/>
  </si>
  <si>
    <t>공포의 묘지</t>
    <phoneticPr fontId="2" type="noConversion"/>
  </si>
  <si>
    <t>직쏘</t>
    <phoneticPr fontId="2" type="noConversion"/>
  </si>
  <si>
    <t>애나벨</t>
    <phoneticPr fontId="2" type="noConversion"/>
  </si>
  <si>
    <t>고스트오브워</t>
    <phoneticPr fontId="2" type="noConversion"/>
  </si>
  <si>
    <t>가격(달러)</t>
    <phoneticPr fontId="2" type="noConversion"/>
  </si>
  <si>
    <t>비고</t>
    <phoneticPr fontId="2" type="noConversion"/>
  </si>
  <si>
    <t>증가</t>
    <phoneticPr fontId="2" type="noConversion"/>
  </si>
  <si>
    <t>순번</t>
    <phoneticPr fontId="2" type="noConversion"/>
  </si>
  <si>
    <t>이름</t>
    <phoneticPr fontId="2" type="noConversion"/>
  </si>
  <si>
    <t>성별</t>
    <phoneticPr fontId="2" type="noConversion"/>
  </si>
  <si>
    <t>주소</t>
    <phoneticPr fontId="2" type="noConversion"/>
  </si>
  <si>
    <t>여</t>
    <phoneticPr fontId="2" type="noConversion"/>
  </si>
  <si>
    <t>남</t>
    <phoneticPr fontId="2" type="noConversion"/>
  </si>
  <si>
    <t>인천</t>
    <phoneticPr fontId="2" type="noConversion"/>
  </si>
  <si>
    <t>김석환</t>
    <phoneticPr fontId="2" type="noConversion"/>
  </si>
  <si>
    <t>김은희</t>
    <phoneticPr fontId="2" type="noConversion"/>
  </si>
  <si>
    <t>안명숙</t>
    <phoneticPr fontId="2" type="noConversion"/>
  </si>
  <si>
    <t>여</t>
    <phoneticPr fontId="2" type="noConversion"/>
  </si>
  <si>
    <t>우명관</t>
    <phoneticPr fontId="2" type="noConversion"/>
  </si>
  <si>
    <t>경기도 성남</t>
    <phoneticPr fontId="2" type="noConversion"/>
  </si>
  <si>
    <t>이석민</t>
    <phoneticPr fontId="2" type="noConversion"/>
  </si>
  <si>
    <t>경기도 안성</t>
    <phoneticPr fontId="2" type="noConversion"/>
  </si>
  <si>
    <t>이순복</t>
    <phoneticPr fontId="2" type="noConversion"/>
  </si>
  <si>
    <t>강원도 강릉</t>
    <phoneticPr fontId="2" type="noConversion"/>
  </si>
  <si>
    <t>장성혁</t>
    <phoneticPr fontId="2" type="noConversion"/>
  </si>
  <si>
    <t>강원도 평창</t>
    <phoneticPr fontId="2" type="noConversion"/>
  </si>
  <si>
    <t>이호춘</t>
    <phoneticPr fontId="2" type="noConversion"/>
  </si>
  <si>
    <t>1526-P-2006</t>
    <phoneticPr fontId="2" type="noConversion"/>
  </si>
  <si>
    <t>[표]소득공제</t>
    <phoneticPr fontId="2" type="noConversion"/>
  </si>
  <si>
    <t>부서코드</t>
    <phoneticPr fontId="2" type="noConversion"/>
  </si>
  <si>
    <t>부서명</t>
    <phoneticPr fontId="2" type="noConversion"/>
  </si>
  <si>
    <t>임직원수</t>
    <phoneticPr fontId="2" type="noConversion"/>
  </si>
  <si>
    <t>정규/계약</t>
    <phoneticPr fontId="2" type="noConversion"/>
  </si>
  <si>
    <t>정규직비율</t>
    <phoneticPr fontId="2" type="noConversion"/>
  </si>
  <si>
    <t>KH-001</t>
    <phoneticPr fontId="2" type="noConversion"/>
  </si>
  <si>
    <t>IC-001</t>
    <phoneticPr fontId="2" type="noConversion"/>
  </si>
  <si>
    <t>YO-001</t>
    <phoneticPr fontId="2" type="noConversion"/>
  </si>
  <si>
    <t>JK-001</t>
    <phoneticPr fontId="2" type="noConversion"/>
  </si>
  <si>
    <t>YK-001</t>
    <phoneticPr fontId="2" type="noConversion"/>
  </si>
  <si>
    <t>SS-001</t>
    <phoneticPr fontId="2" type="noConversion"/>
  </si>
  <si>
    <t>경영/회계팀</t>
    <phoneticPr fontId="2" type="noConversion"/>
  </si>
  <si>
    <t>인사/총무팀</t>
    <phoneticPr fontId="2" type="noConversion"/>
  </si>
  <si>
    <t>영업팀</t>
    <phoneticPr fontId="2" type="noConversion"/>
  </si>
  <si>
    <t>전략/기획팀</t>
    <phoneticPr fontId="2" type="noConversion"/>
  </si>
  <si>
    <t>연구/개발팀</t>
    <phoneticPr fontId="2" type="noConversion"/>
  </si>
  <si>
    <t>4/1</t>
    <phoneticPr fontId="2" type="noConversion"/>
  </si>
  <si>
    <t>4/2</t>
    <phoneticPr fontId="2" type="noConversion"/>
  </si>
  <si>
    <t>6/4</t>
    <phoneticPr fontId="2" type="noConversion"/>
  </si>
  <si>
    <t>10/2</t>
    <phoneticPr fontId="2" type="noConversion"/>
  </si>
  <si>
    <t>8/4</t>
    <phoneticPr fontId="2" type="noConversion"/>
  </si>
  <si>
    <t>20/10</t>
    <phoneticPr fontId="2" type="noConversion"/>
  </si>
  <si>
    <t>기풍카드</t>
  </si>
  <si>
    <t>중앙의원</t>
  </si>
  <si>
    <t>하나의원</t>
  </si>
  <si>
    <t>중앙병원</t>
  </si>
  <si>
    <t>합계: 금액</t>
  </si>
  <si>
    <t>전체 합계: 금액</t>
  </si>
  <si>
    <t>전체 평균: 금액</t>
  </si>
  <si>
    <t>평균: 금액</t>
  </si>
  <si>
    <t>법인명</t>
  </si>
  <si>
    <t>소득공제</t>
  </si>
  <si>
    <t>값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</si>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</sst>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80" formatCode="#,##0,,&quot;백만KG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u val="double"/>
      <sz val="18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4" fillId="0" borderId="0" xfId="2" applyFont="1">
      <alignment vertical="center"/>
    </xf>
    <xf numFmtId="0" fontId="6" fillId="0" borderId="0" xfId="0" applyFont="1">
      <alignment vertical="center"/>
    </xf>
    <xf numFmtId="0" fontId="7" fillId="0" borderId="0" xfId="2" applyFont="1">
      <alignment vertical="center"/>
    </xf>
    <xf numFmtId="0" fontId="7" fillId="0" borderId="1" xfId="2" applyFont="1" applyBorder="1" applyAlignment="1">
      <alignment horizontal="center" vertical="center"/>
    </xf>
    <xf numFmtId="0" fontId="7" fillId="0" borderId="0" xfId="2" applyFont="1" applyAlignment="1">
      <alignment horizontal="right" vertical="center"/>
    </xf>
    <xf numFmtId="0" fontId="7" fillId="0" borderId="0" xfId="2" applyFont="1" applyAlignment="1">
      <alignment horizontal="center" vertical="center"/>
    </xf>
    <xf numFmtId="41" fontId="7" fillId="0" borderId="0" xfId="3" applyFont="1" applyBorder="1" applyAlignment="1">
      <alignment horizontal="center" vertical="center"/>
    </xf>
    <xf numFmtId="0" fontId="4" fillId="0" borderId="0" xfId="2" applyFont="1" applyAlignment="1">
      <alignment horizontal="right" vertical="center"/>
    </xf>
    <xf numFmtId="0" fontId="4" fillId="0" borderId="1" xfId="2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41" fontId="7" fillId="0" borderId="1" xfId="1" applyFon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4" fillId="0" borderId="0" xfId="1" applyNumberFormat="1" applyFont="1" applyBorder="1" applyAlignment="1">
      <alignment horizontal="center" vertical="center"/>
    </xf>
    <xf numFmtId="14" fontId="7" fillId="0" borderId="1" xfId="2" applyNumberFormat="1" applyFont="1" applyBorder="1" applyAlignment="1">
      <alignment horizontal="center" vertical="center"/>
    </xf>
    <xf numFmtId="41" fontId="7" fillId="0" borderId="0" xfId="1" applyFont="1" applyBorder="1" applyAlignment="1">
      <alignment horizontal="center" vertical="center"/>
    </xf>
    <xf numFmtId="3" fontId="4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10" fontId="9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1" fillId="2" borderId="1" xfId="2" applyFont="1" applyFill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8" fillId="0" borderId="0" xfId="2" applyFont="1" applyAlignment="1"/>
    <xf numFmtId="0" fontId="5" fillId="0" borderId="0" xfId="2" applyFont="1">
      <alignment vertical="center"/>
    </xf>
    <xf numFmtId="49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0" applyNumberFormat="1">
      <alignment vertical="center"/>
    </xf>
    <xf numFmtId="0" fontId="10" fillId="4" borderId="1" xfId="0" applyFont="1" applyFill="1" applyBorder="1" applyAlignment="1">
      <alignment horizontal="center" vertical="center"/>
    </xf>
    <xf numFmtId="41" fontId="0" fillId="5" borderId="1" xfId="0" applyNumberFormat="1" applyFill="1" applyBorder="1">
      <alignment vertical="center"/>
    </xf>
    <xf numFmtId="14" fontId="7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41" fontId="7" fillId="0" borderId="1" xfId="2" applyNumberFormat="1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5" fillId="6" borderId="4" xfId="0" applyFont="1" applyFill="1" applyBorder="1" applyAlignment="1">
      <alignment vertical="center" wrapText="1"/>
    </xf>
    <xf numFmtId="0" fontId="15" fillId="6" borderId="6" xfId="2" applyFont="1" applyFill="1" applyBorder="1" applyAlignment="1">
      <alignment vertical="center" wrapText="1"/>
    </xf>
    <xf numFmtId="0" fontId="15" fillId="6" borderId="6" xfId="0" applyFont="1" applyFill="1" applyBorder="1" applyAlignment="1">
      <alignment vertical="center" wrapText="1"/>
    </xf>
    <xf numFmtId="0" fontId="13" fillId="0" borderId="2" xfId="2" applyFont="1" applyBorder="1" applyAlignment="1">
      <alignment horizontal="center" vertical="center"/>
    </xf>
    <xf numFmtId="0" fontId="15" fillId="6" borderId="5" xfId="0" applyFont="1" applyFill="1" applyBorder="1" applyAlignment="1">
      <alignment vertical="center" wrapText="1"/>
    </xf>
    <xf numFmtId="0" fontId="15" fillId="6" borderId="7" xfId="2" applyFont="1" applyFill="1" applyBorder="1" applyAlignment="1">
      <alignment vertical="center" wrapText="1"/>
    </xf>
    <xf numFmtId="0" fontId="15" fillId="6" borderId="7" xfId="0" applyFont="1" applyFill="1" applyBorder="1" applyAlignment="1">
      <alignment vertical="center" wrapText="1"/>
    </xf>
    <xf numFmtId="3" fontId="15" fillId="6" borderId="1" xfId="0" applyNumberFormat="1" applyFont="1" applyFill="1" applyBorder="1" applyAlignment="1">
      <alignment horizontal="right" vertical="center" wrapText="1"/>
    </xf>
    <xf numFmtId="3" fontId="15" fillId="6" borderId="1" xfId="2" applyNumberFormat="1" applyFont="1" applyFill="1" applyBorder="1" applyAlignment="1">
      <alignment horizontal="right" vertical="center" wrapText="1"/>
    </xf>
    <xf numFmtId="0" fontId="11" fillId="3" borderId="1" xfId="2" applyFont="1" applyFill="1" applyBorder="1" applyAlignment="1">
      <alignment horizontal="center" vertical="center"/>
    </xf>
    <xf numFmtId="4" fontId="0" fillId="0" borderId="1" xfId="0" applyNumberFormat="1" applyBorder="1">
      <alignment vertical="center"/>
    </xf>
    <xf numFmtId="0" fontId="10" fillId="0" borderId="0" xfId="0" applyFo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80" fontId="0" fillId="0" borderId="1" xfId="0" applyNumberFormat="1" applyBorder="1">
      <alignment vertical="center"/>
    </xf>
    <xf numFmtId="0" fontId="0" fillId="0" borderId="8" xfId="0" applyBorder="1" applyAlignment="1">
      <alignment horizontal="center" vertical="center"/>
    </xf>
    <xf numFmtId="0" fontId="16" fillId="7" borderId="9" xfId="5" applyBorder="1" applyAlignment="1">
      <alignment horizontal="center" vertical="center"/>
    </xf>
    <xf numFmtId="0" fontId="16" fillId="8" borderId="9" xfId="6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0" fontId="0" fillId="0" borderId="14" xfId="0" applyNumberForma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>
      <alignment vertical="center"/>
    </xf>
    <xf numFmtId="41" fontId="0" fillId="0" borderId="1" xfId="0" applyNumberFormat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7">
    <cellStyle name="강조색1" xfId="5" builtinId="29"/>
    <cellStyle name="강조색2" xfId="6" builtinId="33"/>
    <cellStyle name="쉼표 [0]" xfId="1" builtinId="6"/>
    <cellStyle name="쉼표 [0] 2" xfId="3" xr:uid="{00000000-0005-0000-0000-000001000000}"/>
    <cellStyle name="통화 [0] 2" xfId="4" xr:uid="{00000000-0005-0000-0000-000002000000}"/>
    <cellStyle name="표준" xfId="0" builtinId="0"/>
    <cellStyle name="표준 2" xfId="2" xr:uid="{00000000-0005-0000-0000-000004000000}"/>
  </cellStyles>
  <dxfs count="1">
    <dxf>
      <font>
        <b/>
        <i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2016년</c:v>
                </c:pt>
                <c:pt idx="1">
                  <c:v>2017년</c:v>
                </c:pt>
                <c:pt idx="2">
                  <c:v>2018년</c:v>
                </c:pt>
                <c:pt idx="3">
                  <c:v>2019년</c:v>
                </c:pt>
              </c:strCache>
            </c:strRef>
          </c:cat>
          <c:val>
            <c:numRef>
              <c:f>차트작업!$B$4:$E$4</c:f>
              <c:numCache>
                <c:formatCode>#,##0</c:formatCode>
                <c:ptCount val="4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  <c:pt idx="3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6-4C16-9883-D795421AA5B5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2016년</c:v>
                </c:pt>
                <c:pt idx="1">
                  <c:v>2017년</c:v>
                </c:pt>
                <c:pt idx="2">
                  <c:v>2018년</c:v>
                </c:pt>
                <c:pt idx="3">
                  <c:v>2019년</c:v>
                </c:pt>
              </c:strCache>
            </c:strRef>
          </c:cat>
          <c:val>
            <c:numRef>
              <c:f>차트작업!$B$5:$E$5</c:f>
              <c:numCache>
                <c:formatCode>#,##0</c:formatCode>
                <c:ptCount val="4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  <c:pt idx="3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36-4C16-9883-D795421AA5B5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2016년</c:v>
                </c:pt>
                <c:pt idx="1">
                  <c:v>2017년</c:v>
                </c:pt>
                <c:pt idx="2">
                  <c:v>2018년</c:v>
                </c:pt>
                <c:pt idx="3">
                  <c:v>2019년</c:v>
                </c:pt>
              </c:strCache>
            </c:strRef>
          </c:cat>
          <c:val>
            <c:numRef>
              <c:f>차트작업!$B$6:$E$6</c:f>
              <c:numCache>
                <c:formatCode>#,##0</c:formatCode>
                <c:ptCount val="4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  <c:pt idx="3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36-4C16-9883-D795421AA5B5}"/>
            </c:ext>
          </c:extLst>
        </c:ser>
        <c:ser>
          <c:idx val="3"/>
          <c:order val="3"/>
          <c:tx>
            <c:strRef>
              <c:f>차트작업!$A$7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2016년</c:v>
                </c:pt>
                <c:pt idx="1">
                  <c:v>2017년</c:v>
                </c:pt>
                <c:pt idx="2">
                  <c:v>2018년</c:v>
                </c:pt>
                <c:pt idx="3">
                  <c:v>2019년</c:v>
                </c:pt>
              </c:strCache>
            </c:strRef>
          </c:cat>
          <c:val>
            <c:numRef>
              <c:f>차트작업!$B$7:$E$7</c:f>
              <c:numCache>
                <c:formatCode>#,##0</c:formatCode>
                <c:ptCount val="4"/>
                <c:pt idx="0">
                  <c:v>81448</c:v>
                </c:pt>
                <c:pt idx="1">
                  <c:v>84374</c:v>
                </c:pt>
                <c:pt idx="2">
                  <c:v>92353</c:v>
                </c:pt>
                <c:pt idx="3">
                  <c:v>95102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36-4C16-9883-D795421AA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1800336"/>
        <c:axId val="241803664"/>
      </c:barChart>
      <c:catAx>
        <c:axId val="24180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1803664"/>
        <c:crosses val="autoZero"/>
        <c:auto val="1"/>
        <c:lblAlgn val="ctr"/>
        <c:lblOffset val="100"/>
        <c:noMultiLvlLbl val="0"/>
      </c:catAx>
      <c:valAx>
        <c:axId val="24180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180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366712</xdr:colOff>
      <xdr:row>0</xdr:row>
      <xdr:rowOff>128587</xdr:rowOff>
    </xdr:from>
    <xdr:to>
      <xdr:col>23</xdr:col>
      <xdr:colOff>4832</xdr:colOff>
      <xdr:row>19</xdr:row>
      <xdr:rowOff>66703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39200" y="128587"/>
          <a:ext cx="9601270" cy="401005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5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권영빈" refreshedDate="44935.890431944441" backgroundQuery="1" createdVersion="8" refreshedVersion="8" minRefreshableVersion="3" recordCount="0" supportSubquery="1" supportAdvancedDrill="1" xr:uid="{564BFC6B-DB89-4406-841E-FA6EB3504768}">
  <cacheSource type="external" connectionId="1"/>
  <cacheFields count="4">
    <cacheField name="[범위].[소득공제].[소득공제]" caption="소득공제" numFmtId="0" level="1">
      <sharedItems count="3">
        <s v="신용카드"/>
        <s v="일반의료비"/>
        <s v="현금영수증"/>
      </sharedItems>
    </cacheField>
    <cacheField name="[범위].[법인명].[법인명]" caption="법인명" numFmtId="0" hierarchy="2" level="1">
      <sharedItems count="4">
        <s v="기풍카드"/>
        <s v="중앙병원"/>
        <s v="중앙의원"/>
        <s v="하나의원"/>
      </sharedItems>
    </cacheField>
    <cacheField name="[Measures].[합계: 금액]" caption="합계: 금액" numFmtId="0" hierarchy="6" level="32767"/>
    <cacheField name="[Measures].[평균: 금액]" caption="평균: 금액" numFmtId="0" hierarchy="7" level="32767"/>
  </cacheFields>
  <cacheHierarchies count="8">
    <cacheHierarchy uniqueName="[범위].[소득공제]" caption="소득공제" attribute="1" defaultMemberUniqueName="[범위].[소득공제].[All]" allUniqueName="[범위].[소득공제].[All]" dimensionUniqueName="[범위]" displayFolder="" count="2" memberValueDatatype="130" unbalanced="0">
      <fieldsUsage count="2">
        <fieldUsage x="-1"/>
        <fieldUsage x="0"/>
      </fieldsUsage>
    </cacheHierarchy>
    <cacheHierarchy uniqueName="[범위].[소득공제내용]" caption="소득공제내용" attribute="1" defaultMemberUniqueName="[범위].[소득공제내용].[All]" allUniqueName="[범위].[소득공제내용].[All]" dimensionUniqueName="[범위]" displayFolder="" count="0" memberValueDatatype="130" unbalanced="0"/>
    <cacheHierarchy uniqueName="[범위].[법인명]" caption="법인명" attribute="1" defaultMemberUniqueName="[범위].[법인명].[All]" allUniqueName="[범위].[법인명].[All]" dimensionUniqueName="[범위]" displayFolder="" count="2" memberValueDatatype="130" unbalanced="0">
      <fieldsUsage count="2">
        <fieldUsage x="-1"/>
        <fieldUsage x="1"/>
      </fieldsUsage>
    </cacheHierarchy>
    <cacheHierarchy uniqueName="[범위].[금액]" caption="금액" attribute="1" defaultMemberUniqueName="[범위].[금액].[All]" allUniqueName="[범위].[금액].[All]" dimensionUniqueName="[범위]" displayFolder="" count="0" memberValueDatatype="20" unbalanced="0"/>
    <cacheHierarchy uniqueName="[Measures].[__XL_Count 범위]" caption="__XL_Count 범위" measure="1" displayFolder="" measureGroup="범위" count="0" hidden="1"/>
    <cacheHierarchy uniqueName="[Measures].[__정의된 측정값 없음]" caption="__정의된 측정값 없음" measure="1" displayFolder="" count="0" hidden="1"/>
    <cacheHierarchy uniqueName="[Measures].[합계: 금액]" caption="합계: 금액" measure="1" displayFolder="" measureGroup="범위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금액]" caption="평균: 금액" measure="1" displayFolder="" measureGroup="범위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범위" uniqueName="[범위]" caption="범위"/>
  </dimensions>
  <measureGroups count="1">
    <measureGroup name="범위" caption="범위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CC0D55-8E94-4D58-9172-26F9DEA8AEDD}" name="피벗 테이블1" cacheId="39" dataOnRows="1" applyNumberFormats="0" applyBorderFormats="0" applyFontFormats="0" applyPatternFormats="0" applyAlignmentFormats="0" applyWidthHeightFormats="1" dataCaption="값" missingCaption="*" tag="962bb6ea-c1e5-44f3-9f03-5b17b328c256" updatedVersion="8" minRefreshableVersion="3" useAutoFormatting="1" colGrandTotals="0" itemPrintTitles="1" mergeItem="1" createdVersion="8" indent="0" compact="0" outline="1" outlineData="1" compactData="0" multipleFieldFilters="0">
  <location ref="F2:K14" firstHeaderRow="1" firstDataRow="2" firstDataCol="2"/>
  <pivotFields count="4">
    <pivotField axis="axisRow" compact="0" allDrilled="1" showAll="0" dataSourceSort="1" defaultSubtotal="0" defaultAttributeDrillState="1">
      <items count="3">
        <item x="0"/>
        <item x="1"/>
        <item x="2"/>
      </items>
    </pivotField>
    <pivotField axis="axisCol" compact="0" allDrilled="1" showAll="0" dataSourceSort="1" defaultSubtotal="0" defaultAttributeDrillState="1">
      <items count="4">
        <item x="0"/>
        <item x="1"/>
        <item x="2"/>
        <item x="3"/>
      </items>
    </pivotField>
    <pivotField dataField="1" compact="0" showAll="0" defaultSubtotal="0"/>
    <pivotField dataField="1" compact="0" showAll="0" defaultSubtotal="0"/>
  </pivotFields>
  <rowFields count="2">
    <field x="0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합계: 금액" fld="2" baseField="0" baseItem="0" numFmtId="41"/>
    <dataField name="평균: 금액" fld="3" subtotal="average" baseField="0" baseItem="0" numFmtId="41"/>
  </dataFields>
  <pivotHierarchies count="8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평균: 금액"/>
  </pivotHierarchies>
  <pivotTableStyleInfo name="PivotStyleMedium3" showRowHeaders="1" showColHeaders="1" showRowStripes="0" showColStripes="0" showLastColumn="1"/>
  <rowHierarchiesUsage count="2">
    <rowHierarchyUsage hierarchyUsage="0"/>
    <rowHierarchyUsage hierarchyUsage="-2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분석작업-1!$A$2:$D$16">
        <x15:activeTabTopLevelEntity name="[범위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"/>
  <sheetViews>
    <sheetView zoomScaleNormal="100" workbookViewId="0">
      <selection activeCell="E9" sqref="E9"/>
    </sheetView>
  </sheetViews>
  <sheetFormatPr defaultColWidth="9" defaultRowHeight="13.5"/>
  <cols>
    <col min="1" max="1" width="12.625" style="21" customWidth="1"/>
    <col min="2" max="2" width="15.75" style="21" customWidth="1"/>
    <col min="3" max="3" width="12.375" style="21" bestFit="1" customWidth="1"/>
    <col min="4" max="4" width="10.125" style="21" customWidth="1"/>
    <col min="5" max="5" width="15.75" style="21" customWidth="1"/>
    <col min="6" max="16384" width="9" style="20"/>
  </cols>
  <sheetData>
    <row r="1" spans="1:5">
      <c r="A1" s="21" t="s">
        <v>40</v>
      </c>
    </row>
    <row r="3" spans="1:5">
      <c r="A3" s="21" t="s">
        <v>197</v>
      </c>
      <c r="B3" s="21" t="s">
        <v>198</v>
      </c>
      <c r="C3" s="21" t="s">
        <v>199</v>
      </c>
      <c r="D3" s="21" t="s">
        <v>200</v>
      </c>
      <c r="E3" s="21" t="s">
        <v>201</v>
      </c>
    </row>
    <row r="4" spans="1:5">
      <c r="A4" s="21" t="s">
        <v>202</v>
      </c>
      <c r="B4" s="21" t="s">
        <v>208</v>
      </c>
      <c r="C4" s="21">
        <v>5</v>
      </c>
      <c r="D4" s="29" t="s">
        <v>213</v>
      </c>
      <c r="E4" s="22">
        <v>0.8</v>
      </c>
    </row>
    <row r="5" spans="1:5">
      <c r="A5" s="21" t="s">
        <v>203</v>
      </c>
      <c r="B5" s="21" t="s">
        <v>209</v>
      </c>
      <c r="C5" s="21">
        <v>6</v>
      </c>
      <c r="D5" s="29" t="s">
        <v>214</v>
      </c>
      <c r="E5" s="22">
        <v>0.66669999999999996</v>
      </c>
    </row>
    <row r="6" spans="1:5">
      <c r="A6" s="21" t="s">
        <v>204</v>
      </c>
      <c r="B6" s="21" t="s">
        <v>210</v>
      </c>
      <c r="C6" s="21">
        <v>10</v>
      </c>
      <c r="D6" s="29" t="s">
        <v>215</v>
      </c>
      <c r="E6" s="22">
        <v>0.6</v>
      </c>
    </row>
    <row r="7" spans="1:5">
      <c r="A7" s="21" t="s">
        <v>205</v>
      </c>
      <c r="B7" s="21" t="s">
        <v>211</v>
      </c>
      <c r="C7" s="21">
        <v>12</v>
      </c>
      <c r="D7" s="29" t="s">
        <v>217</v>
      </c>
      <c r="E7" s="22">
        <v>0.66669999999999996</v>
      </c>
    </row>
    <row r="8" spans="1:5">
      <c r="A8" s="21" t="s">
        <v>206</v>
      </c>
      <c r="B8" s="21" t="s">
        <v>212</v>
      </c>
      <c r="C8" s="21">
        <v>12</v>
      </c>
      <c r="D8" s="29" t="s">
        <v>216</v>
      </c>
      <c r="E8" s="22">
        <v>0.83330000000000004</v>
      </c>
    </row>
    <row r="9" spans="1:5">
      <c r="A9" s="21" t="s">
        <v>207</v>
      </c>
      <c r="B9" s="21" t="s">
        <v>68</v>
      </c>
      <c r="C9" s="21">
        <v>30</v>
      </c>
      <c r="D9" s="29" t="s">
        <v>218</v>
      </c>
      <c r="E9" s="22">
        <v>0.66669999999999996</v>
      </c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8"/>
  <sheetViews>
    <sheetView topLeftCell="C1" zoomScaleNormal="100" workbookViewId="0">
      <selection activeCell="K21" sqref="K21"/>
    </sheetView>
  </sheetViews>
  <sheetFormatPr defaultColWidth="9" defaultRowHeight="16.5"/>
  <cols>
    <col min="2" max="2" width="14" bestFit="1" customWidth="1"/>
    <col min="3" max="3" width="15.875" customWidth="1"/>
    <col min="4" max="4" width="13.5" customWidth="1"/>
    <col min="5" max="5" width="16.75" customWidth="1"/>
    <col min="6" max="6" width="15.75" customWidth="1"/>
  </cols>
  <sheetData>
    <row r="1" spans="2:11" ht="26.25">
      <c r="B1" s="53" t="s">
        <v>46</v>
      </c>
      <c r="C1" s="53"/>
      <c r="D1" s="53"/>
      <c r="E1" s="53"/>
      <c r="F1" s="53"/>
      <c r="G1" s="53"/>
      <c r="H1" s="53"/>
      <c r="I1" s="53"/>
      <c r="J1" s="53"/>
      <c r="K1" s="53"/>
    </row>
    <row r="2" spans="2:11" ht="17.25" thickBot="1"/>
    <row r="3" spans="2:11">
      <c r="B3" s="56" t="s">
        <v>45</v>
      </c>
      <c r="C3" s="57" t="s">
        <v>47</v>
      </c>
      <c r="D3" s="57"/>
      <c r="E3" s="57"/>
      <c r="F3" s="57"/>
      <c r="G3" s="58" t="s">
        <v>48</v>
      </c>
      <c r="H3" s="58"/>
      <c r="I3" s="58"/>
      <c r="J3" s="58"/>
      <c r="K3" s="59" t="s">
        <v>173</v>
      </c>
    </row>
    <row r="4" spans="2:11">
      <c r="B4" s="60"/>
      <c r="C4" s="54" t="s">
        <v>41</v>
      </c>
      <c r="D4" s="54" t="s">
        <v>42</v>
      </c>
      <c r="E4" s="54" t="s">
        <v>43</v>
      </c>
      <c r="F4" s="54" t="s">
        <v>44</v>
      </c>
      <c r="G4" s="12" t="s">
        <v>41</v>
      </c>
      <c r="H4" s="12" t="s">
        <v>42</v>
      </c>
      <c r="I4" s="12" t="s">
        <v>43</v>
      </c>
      <c r="J4" s="12" t="s">
        <v>44</v>
      </c>
      <c r="K4" s="61"/>
    </row>
    <row r="5" spans="2:11">
      <c r="B5" s="62">
        <v>2017</v>
      </c>
      <c r="C5" s="55">
        <v>582700000</v>
      </c>
      <c r="D5" s="55">
        <v>1272382000</v>
      </c>
      <c r="E5" s="55">
        <v>696600000</v>
      </c>
      <c r="F5" s="55">
        <v>2551682000</v>
      </c>
      <c r="G5" s="12">
        <v>11.3</v>
      </c>
      <c r="H5" s="12">
        <v>24.5</v>
      </c>
      <c r="I5" s="12">
        <v>13.3</v>
      </c>
      <c r="J5" s="12">
        <v>49.1</v>
      </c>
      <c r="K5" s="68"/>
    </row>
    <row r="6" spans="2:11">
      <c r="B6" s="62">
        <v>2018</v>
      </c>
      <c r="C6" s="55">
        <v>653700000</v>
      </c>
      <c r="D6" s="55">
        <v>1334452000</v>
      </c>
      <c r="E6" s="55">
        <v>772000000</v>
      </c>
      <c r="F6" s="55">
        <v>2760152000</v>
      </c>
      <c r="G6" s="12">
        <v>12.7</v>
      </c>
      <c r="H6" s="12">
        <v>27</v>
      </c>
      <c r="I6" s="12">
        <v>14.2</v>
      </c>
      <c r="J6" s="12">
        <v>53.9</v>
      </c>
      <c r="K6" s="63" t="s">
        <v>174</v>
      </c>
    </row>
    <row r="7" spans="2:11">
      <c r="B7" s="62">
        <v>2019</v>
      </c>
      <c r="C7" s="55">
        <v>672000000</v>
      </c>
      <c r="D7" s="55">
        <v>1390000000</v>
      </c>
      <c r="E7" s="55">
        <v>761700000</v>
      </c>
      <c r="F7" s="55">
        <v>2823700000</v>
      </c>
      <c r="G7" s="12">
        <v>13</v>
      </c>
      <c r="H7" s="12">
        <v>28</v>
      </c>
      <c r="I7" s="12">
        <v>14.8</v>
      </c>
      <c r="J7" s="12">
        <v>55.8</v>
      </c>
      <c r="K7" s="63" t="s">
        <v>174</v>
      </c>
    </row>
    <row r="8" spans="2:11" ht="17.25" thickBot="1">
      <c r="B8" s="64">
        <v>2020</v>
      </c>
      <c r="C8" s="65">
        <v>668000000</v>
      </c>
      <c r="D8" s="65">
        <v>1325000000</v>
      </c>
      <c r="E8" s="65">
        <v>727600000</v>
      </c>
      <c r="F8" s="65">
        <v>2720600000</v>
      </c>
      <c r="G8" s="66">
        <v>13</v>
      </c>
      <c r="H8" s="66">
        <v>26</v>
      </c>
      <c r="I8" s="66">
        <v>14.7</v>
      </c>
      <c r="J8" s="66">
        <v>53.7</v>
      </c>
      <c r="K8" s="67" t="s">
        <v>49</v>
      </c>
    </row>
  </sheetData>
  <mergeCells count="5">
    <mergeCell ref="B1:K1"/>
    <mergeCell ref="B3:B4"/>
    <mergeCell ref="C3:F3"/>
    <mergeCell ref="G3:J3"/>
    <mergeCell ref="K3:K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8"/>
  <sheetViews>
    <sheetView workbookViewId="0">
      <selection activeCell="A4" sqref="A4:H18"/>
    </sheetView>
  </sheetViews>
  <sheetFormatPr defaultRowHeight="16.5"/>
  <cols>
    <col min="1" max="1" width="12.875" customWidth="1"/>
    <col min="2" max="7" width="9.75" customWidth="1"/>
  </cols>
  <sheetData>
    <row r="1" spans="1:10" ht="26.25">
      <c r="A1" s="27" t="s">
        <v>26</v>
      </c>
      <c r="B1" s="27"/>
      <c r="C1" s="27"/>
      <c r="D1" s="27"/>
      <c r="E1" s="27"/>
      <c r="F1" s="27"/>
      <c r="G1" s="27"/>
      <c r="H1" s="27"/>
    </row>
    <row r="2" spans="1:10">
      <c r="A2" s="2"/>
      <c r="B2" s="2"/>
      <c r="C2" s="2"/>
      <c r="D2" s="10"/>
      <c r="E2" s="10"/>
      <c r="F2" s="10"/>
    </row>
    <row r="3" spans="1:10">
      <c r="A3" s="32" t="s">
        <v>9</v>
      </c>
      <c r="B3" s="32" t="s">
        <v>10</v>
      </c>
      <c r="C3" s="32" t="s">
        <v>50</v>
      </c>
      <c r="D3" s="32" t="s">
        <v>51</v>
      </c>
      <c r="E3" s="32" t="s">
        <v>54</v>
      </c>
      <c r="F3" s="32" t="s">
        <v>52</v>
      </c>
      <c r="G3" s="32" t="s">
        <v>53</v>
      </c>
      <c r="H3" s="32" t="s">
        <v>55</v>
      </c>
    </row>
    <row r="4" spans="1:10" ht="16.5" customHeight="1">
      <c r="A4" s="23">
        <v>201713056</v>
      </c>
      <c r="B4" s="23" t="s">
        <v>17</v>
      </c>
      <c r="C4" s="13">
        <v>62.5</v>
      </c>
      <c r="D4" s="13">
        <v>55</v>
      </c>
      <c r="E4" s="33">
        <f t="shared" ref="E4:E18" si="0">SUM(C4:D4)</f>
        <v>117.5</v>
      </c>
      <c r="F4" s="13">
        <v>25</v>
      </c>
      <c r="G4" s="13">
        <v>57.5</v>
      </c>
      <c r="H4" s="33">
        <f t="shared" ref="H4:H18" si="1">SUM(F4:G4)</f>
        <v>82.5</v>
      </c>
      <c r="J4" s="31"/>
    </row>
    <row r="5" spans="1:10" ht="16.5" customHeight="1">
      <c r="A5" s="23">
        <v>201809060</v>
      </c>
      <c r="B5" s="23" t="s">
        <v>14</v>
      </c>
      <c r="C5" s="13">
        <v>83.75</v>
      </c>
      <c r="D5" s="13">
        <v>50</v>
      </c>
      <c r="E5" s="33">
        <f t="shared" si="0"/>
        <v>133.75</v>
      </c>
      <c r="F5" s="13">
        <v>67.5</v>
      </c>
      <c r="G5" s="13">
        <v>55</v>
      </c>
      <c r="H5" s="33">
        <f t="shared" si="1"/>
        <v>122.5</v>
      </c>
      <c r="J5" s="31"/>
    </row>
    <row r="6" spans="1:10">
      <c r="A6" s="23">
        <v>201621010</v>
      </c>
      <c r="B6" s="23" t="s">
        <v>16</v>
      </c>
      <c r="C6" s="13">
        <v>68.75</v>
      </c>
      <c r="D6" s="13">
        <v>77</v>
      </c>
      <c r="E6" s="33">
        <f t="shared" si="0"/>
        <v>145.75</v>
      </c>
      <c r="F6" s="13">
        <v>37.5</v>
      </c>
      <c r="G6" s="13">
        <v>50</v>
      </c>
      <c r="H6" s="33">
        <f t="shared" si="1"/>
        <v>87.5</v>
      </c>
      <c r="J6" s="31"/>
    </row>
    <row r="7" spans="1:10">
      <c r="A7" s="23">
        <v>201618036</v>
      </c>
      <c r="B7" s="23" t="s">
        <v>24</v>
      </c>
      <c r="C7" s="13">
        <v>65</v>
      </c>
      <c r="D7" s="13">
        <v>70</v>
      </c>
      <c r="E7" s="33">
        <f t="shared" si="0"/>
        <v>135</v>
      </c>
      <c r="F7" s="13">
        <v>30</v>
      </c>
      <c r="G7" s="13">
        <v>65</v>
      </c>
      <c r="H7" s="33">
        <f t="shared" si="1"/>
        <v>95</v>
      </c>
      <c r="J7" s="31"/>
    </row>
    <row r="8" spans="1:10">
      <c r="A8" s="23">
        <v>201915093</v>
      </c>
      <c r="B8" s="23" t="s">
        <v>22</v>
      </c>
      <c r="C8" s="13">
        <v>93.75</v>
      </c>
      <c r="D8" s="13">
        <v>80</v>
      </c>
      <c r="E8" s="33">
        <f t="shared" si="0"/>
        <v>173.75</v>
      </c>
      <c r="F8" s="13">
        <v>87.5</v>
      </c>
      <c r="G8" s="13">
        <v>95</v>
      </c>
      <c r="H8" s="33">
        <f t="shared" si="1"/>
        <v>182.5</v>
      </c>
      <c r="J8" s="31"/>
    </row>
    <row r="9" spans="1:10">
      <c r="A9" s="23">
        <v>201714036</v>
      </c>
      <c r="B9" s="23" t="s">
        <v>18</v>
      </c>
      <c r="C9" s="13">
        <v>71.875</v>
      </c>
      <c r="D9" s="13">
        <v>70</v>
      </c>
      <c r="E9" s="33">
        <f t="shared" si="0"/>
        <v>141.875</v>
      </c>
      <c r="F9" s="13">
        <v>43.75</v>
      </c>
      <c r="G9" s="13">
        <v>52.5</v>
      </c>
      <c r="H9" s="33">
        <f t="shared" si="1"/>
        <v>96.25</v>
      </c>
      <c r="J9" s="31"/>
    </row>
    <row r="10" spans="1:10">
      <c r="A10" s="23">
        <v>201830056</v>
      </c>
      <c r="B10" s="23" t="s">
        <v>12</v>
      </c>
      <c r="C10" s="13">
        <v>71.25</v>
      </c>
      <c r="D10" s="13">
        <v>60</v>
      </c>
      <c r="E10" s="33">
        <f t="shared" si="0"/>
        <v>131.25</v>
      </c>
      <c r="F10" s="13">
        <v>42.5</v>
      </c>
      <c r="G10" s="13">
        <v>60</v>
      </c>
      <c r="H10" s="33">
        <f t="shared" si="1"/>
        <v>102.5</v>
      </c>
      <c r="J10" s="31"/>
    </row>
    <row r="11" spans="1:10">
      <c r="A11" s="23">
        <v>201809025</v>
      </c>
      <c r="B11" s="23" t="s">
        <v>13</v>
      </c>
      <c r="C11" s="13">
        <v>62.5</v>
      </c>
      <c r="D11" s="13">
        <v>60</v>
      </c>
      <c r="E11" s="33">
        <f t="shared" si="0"/>
        <v>122.5</v>
      </c>
      <c r="F11" s="13">
        <v>25</v>
      </c>
      <c r="G11" s="13">
        <v>60</v>
      </c>
      <c r="H11" s="33">
        <f t="shared" si="1"/>
        <v>85</v>
      </c>
      <c r="J11" s="31"/>
    </row>
    <row r="12" spans="1:10">
      <c r="A12" s="23">
        <v>201906050</v>
      </c>
      <c r="B12" s="23" t="s">
        <v>11</v>
      </c>
      <c r="C12" s="13">
        <v>93.75</v>
      </c>
      <c r="D12" s="13">
        <v>90</v>
      </c>
      <c r="E12" s="33">
        <f t="shared" si="0"/>
        <v>183.75</v>
      </c>
      <c r="F12" s="13">
        <v>87.5</v>
      </c>
      <c r="G12" s="13">
        <v>75</v>
      </c>
      <c r="H12" s="33">
        <f t="shared" si="1"/>
        <v>162.5</v>
      </c>
      <c r="J12" s="31"/>
    </row>
    <row r="13" spans="1:10">
      <c r="A13" s="23">
        <v>201618046</v>
      </c>
      <c r="B13" s="23" t="s">
        <v>25</v>
      </c>
      <c r="C13" s="13">
        <v>94</v>
      </c>
      <c r="D13" s="13">
        <v>80</v>
      </c>
      <c r="E13" s="33">
        <f t="shared" si="0"/>
        <v>174</v>
      </c>
      <c r="F13" s="13">
        <v>88</v>
      </c>
      <c r="G13" s="13">
        <v>90</v>
      </c>
      <c r="H13" s="33">
        <f t="shared" si="1"/>
        <v>178</v>
      </c>
      <c r="J13" s="31"/>
    </row>
    <row r="14" spans="1:10">
      <c r="A14" s="23">
        <v>201915058</v>
      </c>
      <c r="B14" s="23" t="s">
        <v>19</v>
      </c>
      <c r="C14" s="13">
        <v>83.5</v>
      </c>
      <c r="D14" s="13">
        <v>50</v>
      </c>
      <c r="E14" s="33">
        <f t="shared" si="0"/>
        <v>133.5</v>
      </c>
      <c r="F14" s="13">
        <v>67</v>
      </c>
      <c r="G14" s="13">
        <v>55</v>
      </c>
      <c r="H14" s="33">
        <f t="shared" si="1"/>
        <v>122</v>
      </c>
      <c r="J14" s="31"/>
    </row>
    <row r="15" spans="1:10">
      <c r="A15" s="23">
        <v>201915087</v>
      </c>
      <c r="B15" s="23" t="s">
        <v>21</v>
      </c>
      <c r="C15" s="13">
        <v>75</v>
      </c>
      <c r="D15" s="13">
        <v>80</v>
      </c>
      <c r="E15" s="33">
        <f t="shared" si="0"/>
        <v>155</v>
      </c>
      <c r="F15" s="13">
        <v>50</v>
      </c>
      <c r="G15" s="13">
        <v>70</v>
      </c>
      <c r="H15" s="33">
        <f t="shared" si="1"/>
        <v>120</v>
      </c>
      <c r="J15" s="31"/>
    </row>
    <row r="16" spans="1:10">
      <c r="A16" s="23">
        <v>201702075</v>
      </c>
      <c r="B16" s="23" t="s">
        <v>23</v>
      </c>
      <c r="C16" s="13">
        <v>60</v>
      </c>
      <c r="D16" s="13">
        <v>55</v>
      </c>
      <c r="E16" s="33">
        <f t="shared" si="0"/>
        <v>115</v>
      </c>
      <c r="F16" s="13">
        <v>20</v>
      </c>
      <c r="G16" s="13">
        <v>57.5</v>
      </c>
      <c r="H16" s="33">
        <f t="shared" si="1"/>
        <v>77.5</v>
      </c>
      <c r="J16" s="31"/>
    </row>
    <row r="17" spans="1:10">
      <c r="A17" s="23">
        <v>201915065</v>
      </c>
      <c r="B17" s="23" t="s">
        <v>20</v>
      </c>
      <c r="C17" s="13">
        <v>75</v>
      </c>
      <c r="D17" s="13">
        <v>80</v>
      </c>
      <c r="E17" s="33">
        <f t="shared" si="0"/>
        <v>155</v>
      </c>
      <c r="F17" s="13">
        <v>50</v>
      </c>
      <c r="G17" s="13">
        <v>70</v>
      </c>
      <c r="H17" s="33">
        <f t="shared" si="1"/>
        <v>120</v>
      </c>
      <c r="J17" s="31"/>
    </row>
    <row r="18" spans="1:10">
      <c r="A18" s="23">
        <v>201820030</v>
      </c>
      <c r="B18" s="23" t="s">
        <v>15</v>
      </c>
      <c r="C18" s="13">
        <v>67.1875</v>
      </c>
      <c r="D18" s="13">
        <v>50</v>
      </c>
      <c r="E18" s="33">
        <f t="shared" si="0"/>
        <v>117.1875</v>
      </c>
      <c r="F18" s="13">
        <v>34.375</v>
      </c>
      <c r="G18" s="13">
        <v>55</v>
      </c>
      <c r="H18" s="33">
        <f t="shared" si="1"/>
        <v>89.375</v>
      </c>
      <c r="J18" s="31"/>
    </row>
  </sheetData>
  <sortState xmlns:xlrd2="http://schemas.microsoft.com/office/spreadsheetml/2017/richdata2" ref="A4:H18">
    <sortCondition ref="B8"/>
  </sortState>
  <phoneticPr fontId="2" type="noConversion"/>
  <conditionalFormatting sqref="A4:H18">
    <cfRule type="expression" dxfId="0" priority="1">
      <formula>$H4&gt;$E4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4"/>
  <sheetViews>
    <sheetView topLeftCell="B1" zoomScaleNormal="100" workbookViewId="0">
      <selection activeCell="E31" sqref="E31"/>
    </sheetView>
  </sheetViews>
  <sheetFormatPr defaultRowHeight="16.5"/>
  <cols>
    <col min="1" max="1" width="13.5" customWidth="1"/>
    <col min="2" max="3" width="12.75" customWidth="1"/>
    <col min="4" max="4" width="14.625" customWidth="1"/>
    <col min="6" max="6" width="14.625" customWidth="1"/>
    <col min="7" max="11" width="11.375" customWidth="1"/>
  </cols>
  <sheetData>
    <row r="1" spans="1:10">
      <c r="A1" s="3" t="s">
        <v>56</v>
      </c>
      <c r="B1" s="3"/>
      <c r="C1" s="3"/>
      <c r="D1" s="3"/>
      <c r="E1" s="3"/>
      <c r="F1" s="3" t="s">
        <v>3</v>
      </c>
      <c r="G1" s="3"/>
      <c r="H1" s="3"/>
      <c r="I1" s="5"/>
      <c r="J1" s="3"/>
    </row>
    <row r="2" spans="1:10">
      <c r="A2" s="24" t="s">
        <v>57</v>
      </c>
      <c r="B2" s="24" t="s">
        <v>58</v>
      </c>
      <c r="C2" s="24" t="s">
        <v>59</v>
      </c>
      <c r="D2" s="25" t="s">
        <v>60</v>
      </c>
      <c r="E2" s="3"/>
      <c r="F2" s="24" t="s">
        <v>2</v>
      </c>
      <c r="G2" s="24" t="s">
        <v>73</v>
      </c>
      <c r="H2" s="24" t="s">
        <v>74</v>
      </c>
      <c r="I2" s="25" t="s">
        <v>75</v>
      </c>
    </row>
    <row r="3" spans="1:10">
      <c r="A3" s="4" t="s">
        <v>61</v>
      </c>
      <c r="B3" s="4" t="s">
        <v>67</v>
      </c>
      <c r="C3" s="4">
        <v>20</v>
      </c>
      <c r="D3" s="4" t="str">
        <f>IF(LEFT(A3,1)="1","해외지사",IF(LEFT(A3,1)="2","국내지사","본부"))</f>
        <v>국내지사</v>
      </c>
      <c r="E3" s="3"/>
      <c r="F3" s="4" t="s">
        <v>83</v>
      </c>
      <c r="G3" s="11" t="s">
        <v>76</v>
      </c>
      <c r="H3" s="34">
        <v>39873</v>
      </c>
      <c r="I3" s="4">
        <f>2000+MID(G3,4,2)-YEAR(H3)</f>
        <v>24</v>
      </c>
      <c r="J3" s="35"/>
    </row>
    <row r="4" spans="1:10">
      <c r="A4" s="4" t="s">
        <v>62</v>
      </c>
      <c r="B4" s="4" t="s">
        <v>68</v>
      </c>
      <c r="C4" s="4">
        <v>21</v>
      </c>
      <c r="D4" s="4" t="str">
        <f t="shared" ref="D4:D9" si="0">IF(LEFT(A4,1)="1","해외지사",IF(LEFT(A4,1)="2","국내지사","본부"))</f>
        <v>본부</v>
      </c>
      <c r="E4" s="3"/>
      <c r="F4" s="4" t="s">
        <v>84</v>
      </c>
      <c r="G4" s="11" t="s">
        <v>77</v>
      </c>
      <c r="H4" s="34">
        <v>39283</v>
      </c>
      <c r="I4" s="4">
        <f t="shared" ref="I4:I9" si="1">2000+MID(G4,4,2)-YEAR(H4)</f>
        <v>17</v>
      </c>
    </row>
    <row r="5" spans="1:10">
      <c r="A5" s="4" t="s">
        <v>63</v>
      </c>
      <c r="B5" s="4" t="s">
        <v>69</v>
      </c>
      <c r="C5" s="4">
        <v>22</v>
      </c>
      <c r="D5" s="4" t="str">
        <f t="shared" si="0"/>
        <v>해외지사</v>
      </c>
      <c r="E5" s="3"/>
      <c r="F5" s="4" t="s">
        <v>85</v>
      </c>
      <c r="G5" s="11" t="s">
        <v>78</v>
      </c>
      <c r="H5" s="34">
        <v>40522</v>
      </c>
      <c r="I5" s="4">
        <f t="shared" si="1"/>
        <v>11</v>
      </c>
    </row>
    <row r="6" spans="1:10">
      <c r="A6" s="4" t="s">
        <v>64</v>
      </c>
      <c r="B6" s="4" t="s">
        <v>70</v>
      </c>
      <c r="C6" s="4">
        <v>23</v>
      </c>
      <c r="D6" s="4" t="str">
        <f t="shared" si="0"/>
        <v>해외지사</v>
      </c>
      <c r="E6" s="3"/>
      <c r="F6" s="4" t="s">
        <v>86</v>
      </c>
      <c r="G6" s="11" t="s">
        <v>79</v>
      </c>
      <c r="H6" s="34">
        <v>38180</v>
      </c>
      <c r="I6" s="4">
        <f t="shared" si="1"/>
        <v>19</v>
      </c>
    </row>
    <row r="7" spans="1:10">
      <c r="A7" s="4" t="s">
        <v>66</v>
      </c>
      <c r="B7" s="4" t="s">
        <v>71</v>
      </c>
      <c r="C7" s="4">
        <v>24</v>
      </c>
      <c r="D7" s="4" t="str">
        <f t="shared" si="0"/>
        <v>본부</v>
      </c>
      <c r="E7" s="3"/>
      <c r="F7" s="4" t="s">
        <v>87</v>
      </c>
      <c r="G7" s="11" t="s">
        <v>80</v>
      </c>
      <c r="H7" s="34">
        <v>41129</v>
      </c>
      <c r="I7" s="4">
        <f t="shared" si="1"/>
        <v>23</v>
      </c>
    </row>
    <row r="8" spans="1:10">
      <c r="A8" s="4" t="s">
        <v>65</v>
      </c>
      <c r="B8" s="4" t="s">
        <v>67</v>
      </c>
      <c r="C8" s="4">
        <v>25</v>
      </c>
      <c r="D8" s="4" t="str">
        <f t="shared" si="0"/>
        <v>국내지사</v>
      </c>
      <c r="E8" s="3"/>
      <c r="F8" s="4" t="s">
        <v>88</v>
      </c>
      <c r="G8" s="11" t="s">
        <v>81</v>
      </c>
      <c r="H8" s="34">
        <v>41228</v>
      </c>
      <c r="I8" s="4">
        <f t="shared" si="1"/>
        <v>25</v>
      </c>
    </row>
    <row r="9" spans="1:10">
      <c r="A9" s="4" t="s">
        <v>195</v>
      </c>
      <c r="B9" s="4" t="s">
        <v>72</v>
      </c>
      <c r="C9" s="4">
        <v>26</v>
      </c>
      <c r="D9" s="4" t="str">
        <f t="shared" si="0"/>
        <v>해외지사</v>
      </c>
      <c r="E9" s="3"/>
      <c r="F9" s="4" t="s">
        <v>89</v>
      </c>
      <c r="G9" s="11" t="s">
        <v>82</v>
      </c>
      <c r="H9" s="34">
        <v>40338</v>
      </c>
      <c r="I9" s="4">
        <f t="shared" si="1"/>
        <v>15</v>
      </c>
    </row>
    <row r="10" spans="1:10">
      <c r="A10" s="2"/>
      <c r="B10" s="2"/>
      <c r="C10" s="2"/>
      <c r="D10" s="2"/>
      <c r="E10" s="2"/>
      <c r="F10" s="6"/>
      <c r="G10" s="6"/>
      <c r="H10" s="7"/>
      <c r="I10" s="6"/>
      <c r="J10" s="2"/>
    </row>
    <row r="11" spans="1:10">
      <c r="A11" s="2"/>
      <c r="B11" s="2"/>
      <c r="C11" s="2"/>
      <c r="D11" s="2"/>
      <c r="E11" s="2"/>
    </row>
    <row r="12" spans="1:10">
      <c r="A12" s="3" t="s">
        <v>33</v>
      </c>
      <c r="B12" s="3"/>
      <c r="C12" s="3"/>
      <c r="D12" s="3"/>
      <c r="E12" s="3"/>
      <c r="F12" s="3" t="s">
        <v>31</v>
      </c>
      <c r="G12" s="3"/>
      <c r="H12" s="3"/>
      <c r="I12" s="5"/>
    </row>
    <row r="13" spans="1:10">
      <c r="A13" s="24" t="s">
        <v>1</v>
      </c>
      <c r="B13" s="24" t="s">
        <v>34</v>
      </c>
      <c r="C13" s="24" t="s">
        <v>98</v>
      </c>
      <c r="D13" s="47" t="s">
        <v>35</v>
      </c>
      <c r="E13" s="3"/>
      <c r="F13" s="24" t="s">
        <v>7</v>
      </c>
      <c r="G13" s="24" t="s">
        <v>5</v>
      </c>
      <c r="H13" s="24" t="s">
        <v>6</v>
      </c>
      <c r="I13" s="24" t="s">
        <v>99</v>
      </c>
    </row>
    <row r="14" spans="1:10">
      <c r="A14" s="4" t="s">
        <v>90</v>
      </c>
      <c r="B14" s="16">
        <v>34992</v>
      </c>
      <c r="C14" s="13">
        <v>95</v>
      </c>
      <c r="D14" s="4" t="str">
        <f>IFERROR(CHOOSE(_xlfn.RANK.EQ(C14,$C$14:$C$21),"☆☆☆","☆☆","☆"),"")</f>
        <v>☆☆☆</v>
      </c>
      <c r="E14" s="3"/>
      <c r="F14" s="4" t="s">
        <v>101</v>
      </c>
      <c r="G14" s="11">
        <v>77</v>
      </c>
      <c r="H14" s="11">
        <v>75</v>
      </c>
      <c r="I14" s="13">
        <f>SUM(G14:H14)</f>
        <v>152</v>
      </c>
    </row>
    <row r="15" spans="1:10">
      <c r="A15" s="4" t="s">
        <v>91</v>
      </c>
      <c r="B15" s="16">
        <v>34395</v>
      </c>
      <c r="C15" s="13">
        <v>78</v>
      </c>
      <c r="D15" s="4" t="str">
        <f t="shared" ref="D15:D21" si="2">IFERROR(CHOOSE(_xlfn.RANK.EQ(C15,$C$14:$C$21),"☆☆☆","☆☆","☆"),"")</f>
        <v/>
      </c>
      <c r="E15" s="3"/>
      <c r="F15" s="4" t="s">
        <v>102</v>
      </c>
      <c r="G15" s="11">
        <v>58</v>
      </c>
      <c r="H15" s="11">
        <v>76</v>
      </c>
      <c r="I15" s="13">
        <f t="shared" ref="I15:I20" si="3">SUM(G15:H15)</f>
        <v>134</v>
      </c>
    </row>
    <row r="16" spans="1:10">
      <c r="A16" s="4" t="s">
        <v>92</v>
      </c>
      <c r="B16" s="16">
        <v>34568</v>
      </c>
      <c r="C16" s="13">
        <v>80</v>
      </c>
      <c r="D16" s="4" t="str">
        <f t="shared" si="2"/>
        <v/>
      </c>
      <c r="E16" s="3"/>
      <c r="F16" s="4" t="s">
        <v>103</v>
      </c>
      <c r="G16" s="11">
        <v>68</v>
      </c>
      <c r="H16" s="11">
        <v>70</v>
      </c>
      <c r="I16" s="13">
        <f t="shared" si="3"/>
        <v>138</v>
      </c>
    </row>
    <row r="17" spans="1:9">
      <c r="A17" s="4" t="s">
        <v>93</v>
      </c>
      <c r="B17" s="16">
        <v>33626</v>
      </c>
      <c r="C17" s="13">
        <v>94</v>
      </c>
      <c r="D17" s="4" t="str">
        <f t="shared" si="2"/>
        <v>☆☆</v>
      </c>
      <c r="E17" s="3"/>
      <c r="F17" s="4" t="s">
        <v>104</v>
      </c>
      <c r="G17" s="11">
        <v>53</v>
      </c>
      <c r="H17" s="11">
        <v>69</v>
      </c>
      <c r="I17" s="13">
        <f t="shared" si="3"/>
        <v>122</v>
      </c>
    </row>
    <row r="18" spans="1:9">
      <c r="A18" s="4" t="s">
        <v>94</v>
      </c>
      <c r="B18" s="16">
        <v>34831</v>
      </c>
      <c r="C18" s="13">
        <v>91</v>
      </c>
      <c r="D18" s="4" t="str">
        <f t="shared" si="2"/>
        <v>☆</v>
      </c>
      <c r="E18" s="3"/>
      <c r="F18" s="4" t="s">
        <v>105</v>
      </c>
      <c r="G18" s="11">
        <v>76</v>
      </c>
      <c r="H18" s="11">
        <v>77</v>
      </c>
      <c r="I18" s="13">
        <f t="shared" si="3"/>
        <v>153</v>
      </c>
    </row>
    <row r="19" spans="1:9">
      <c r="A19" s="4" t="s">
        <v>95</v>
      </c>
      <c r="B19" s="16">
        <v>35251</v>
      </c>
      <c r="C19" s="13">
        <v>88</v>
      </c>
      <c r="D19" s="4" t="str">
        <f t="shared" si="2"/>
        <v/>
      </c>
      <c r="E19" s="3"/>
      <c r="F19" s="4" t="s">
        <v>106</v>
      </c>
      <c r="G19" s="11">
        <v>55</v>
      </c>
      <c r="H19" s="11">
        <v>67</v>
      </c>
      <c r="I19" s="13">
        <f t="shared" si="3"/>
        <v>122</v>
      </c>
    </row>
    <row r="20" spans="1:9">
      <c r="A20" s="4" t="s">
        <v>96</v>
      </c>
      <c r="B20" s="16">
        <v>34998</v>
      </c>
      <c r="C20" s="13">
        <v>79</v>
      </c>
      <c r="D20" s="4" t="str">
        <f t="shared" si="2"/>
        <v/>
      </c>
      <c r="E20" s="3"/>
      <c r="F20" s="4" t="s">
        <v>107</v>
      </c>
      <c r="G20" s="11">
        <v>95</v>
      </c>
      <c r="H20" s="11">
        <v>89</v>
      </c>
      <c r="I20" s="13">
        <f t="shared" si="3"/>
        <v>184</v>
      </c>
    </row>
    <row r="21" spans="1:9">
      <c r="A21" s="4" t="s">
        <v>97</v>
      </c>
      <c r="B21" s="16">
        <v>34147</v>
      </c>
      <c r="C21" s="11">
        <v>77</v>
      </c>
      <c r="D21" s="4" t="str">
        <f t="shared" si="2"/>
        <v/>
      </c>
      <c r="E21" s="3"/>
    </row>
    <row r="22" spans="1:9">
      <c r="E22" s="3"/>
      <c r="F22" s="50" t="s">
        <v>100</v>
      </c>
      <c r="G22" s="51"/>
      <c r="H22" s="51"/>
      <c r="I22" s="69" t="str">
        <f>INDEX(F14:I20,MATCH(MAX(I14:I20),I14:I20),1)</f>
        <v>박준홍</v>
      </c>
    </row>
    <row r="23" spans="1:9">
      <c r="A23" s="3" t="s">
        <v>32</v>
      </c>
      <c r="D23" s="2"/>
      <c r="E23" s="6"/>
    </row>
    <row r="24" spans="1:9">
      <c r="A24" s="24" t="s">
        <v>4</v>
      </c>
      <c r="B24" s="24" t="s">
        <v>116</v>
      </c>
      <c r="C24" s="24" t="s">
        <v>124</v>
      </c>
      <c r="D24" s="17"/>
    </row>
    <row r="25" spans="1:9">
      <c r="A25" s="4" t="s">
        <v>108</v>
      </c>
      <c r="B25" s="16" t="s">
        <v>117</v>
      </c>
      <c r="C25" s="36">
        <v>80</v>
      </c>
    </row>
    <row r="26" spans="1:9">
      <c r="A26" s="4" t="s">
        <v>109</v>
      </c>
      <c r="B26" s="16" t="s">
        <v>118</v>
      </c>
      <c r="C26" s="36">
        <v>81</v>
      </c>
    </row>
    <row r="27" spans="1:9">
      <c r="A27" s="4" t="s">
        <v>110</v>
      </c>
      <c r="B27" s="16" t="s">
        <v>119</v>
      </c>
      <c r="C27" s="36">
        <v>75</v>
      </c>
    </row>
    <row r="28" spans="1:9">
      <c r="A28" s="4" t="s">
        <v>111</v>
      </c>
      <c r="B28" s="16" t="s">
        <v>120</v>
      </c>
      <c r="C28" s="36">
        <v>74</v>
      </c>
      <c r="G28" s="2"/>
    </row>
    <row r="29" spans="1:9">
      <c r="A29" s="4" t="s">
        <v>112</v>
      </c>
      <c r="B29" s="16" t="s">
        <v>118</v>
      </c>
      <c r="C29" s="36">
        <v>82</v>
      </c>
    </row>
    <row r="30" spans="1:9">
      <c r="A30" s="4" t="s">
        <v>113</v>
      </c>
      <c r="B30" s="16" t="s">
        <v>121</v>
      </c>
      <c r="C30" s="36">
        <v>68</v>
      </c>
    </row>
    <row r="31" spans="1:9">
      <c r="A31" s="4" t="s">
        <v>114</v>
      </c>
      <c r="B31" s="16" t="s">
        <v>122</v>
      </c>
      <c r="C31" s="36">
        <v>70</v>
      </c>
      <c r="D31" s="23" t="s">
        <v>58</v>
      </c>
    </row>
    <row r="32" spans="1:9">
      <c r="A32" s="4" t="s">
        <v>115</v>
      </c>
      <c r="B32" s="16" t="s">
        <v>123</v>
      </c>
      <c r="C32" s="36">
        <v>77</v>
      </c>
      <c r="D32" s="23" t="s">
        <v>118</v>
      </c>
    </row>
    <row r="33" spans="1:12">
      <c r="E33" s="3"/>
    </row>
    <row r="34" spans="1:12">
      <c r="A34" s="52" t="s">
        <v>125</v>
      </c>
      <c r="B34" s="52"/>
      <c r="C34" s="12">
        <f>ROUND(DAVERAGE(B24:C32,2,D31:D32),2)</f>
        <v>79.33</v>
      </c>
      <c r="E34" s="3"/>
      <c r="G34" s="6"/>
    </row>
    <row r="35" spans="1:12">
      <c r="E35" s="3"/>
    </row>
    <row r="39" spans="1:12">
      <c r="H39" s="3"/>
    </row>
    <row r="40" spans="1:12">
      <c r="I40" s="3"/>
      <c r="J40" s="3"/>
      <c r="K40" s="3"/>
    </row>
    <row r="44" spans="1:12">
      <c r="L44" s="2"/>
    </row>
  </sheetData>
  <sortState xmlns:xlrd2="http://schemas.microsoft.com/office/spreadsheetml/2017/richdata2" ref="D29:F35">
    <sortCondition ref="D29"/>
  </sortState>
  <mergeCells count="2">
    <mergeCell ref="F22:H22"/>
    <mergeCell ref="A34:B34"/>
  </mergeCells>
  <phoneticPr fontId="2" type="noConversion"/>
  <pageMargins left="0.7" right="0.7" top="0.75" bottom="0.75" header="0.3" footer="0.3"/>
  <pageSetup paperSize="9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16"/>
  <sheetViews>
    <sheetView topLeftCell="F1" workbookViewId="0">
      <selection activeCell="K8" sqref="K8"/>
    </sheetView>
  </sheetViews>
  <sheetFormatPr defaultRowHeight="16.5"/>
  <cols>
    <col min="2" max="2" width="13.25" bestFit="1" customWidth="1"/>
    <col min="6" max="6" width="15.25" bestFit="1" customWidth="1"/>
    <col min="7" max="7" width="10" bestFit="1" customWidth="1"/>
    <col min="8" max="8" width="11.375" bestFit="1" customWidth="1"/>
    <col min="9" max="10" width="10.5" bestFit="1" customWidth="1"/>
    <col min="11" max="11" width="12.375" bestFit="1" customWidth="1"/>
    <col min="12" max="12" width="12.75" bestFit="1" customWidth="1"/>
    <col min="13" max="14" width="10.375" bestFit="1" customWidth="1"/>
    <col min="15" max="16" width="15.25" bestFit="1" customWidth="1"/>
  </cols>
  <sheetData>
    <row r="1" spans="1:11">
      <c r="A1" s="49" t="s">
        <v>196</v>
      </c>
    </row>
    <row r="2" spans="1:11">
      <c r="A2" s="37" t="s">
        <v>126</v>
      </c>
      <c r="B2" s="37" t="s">
        <v>127</v>
      </c>
      <c r="C2" s="41" t="s">
        <v>128</v>
      </c>
      <c r="D2" s="37" t="s">
        <v>129</v>
      </c>
      <c r="F2" s="30"/>
      <c r="G2" s="30"/>
      <c r="H2" s="70" t="s">
        <v>227</v>
      </c>
      <c r="I2" s="30"/>
      <c r="J2" s="30"/>
      <c r="K2" s="30"/>
    </row>
    <row r="3" spans="1:11">
      <c r="A3" s="38" t="s">
        <v>130</v>
      </c>
      <c r="B3" s="38" t="s">
        <v>131</v>
      </c>
      <c r="C3" s="42" t="s">
        <v>137</v>
      </c>
      <c r="D3" s="45">
        <v>612700</v>
      </c>
      <c r="F3" s="70" t="s">
        <v>228</v>
      </c>
      <c r="G3" s="70" t="s">
        <v>229</v>
      </c>
      <c r="H3" s="71" t="s">
        <v>219</v>
      </c>
      <c r="I3" s="71" t="s">
        <v>222</v>
      </c>
      <c r="J3" s="71" t="s">
        <v>220</v>
      </c>
      <c r="K3" s="71" t="s">
        <v>221</v>
      </c>
    </row>
    <row r="4" spans="1:11">
      <c r="A4" s="39" t="s">
        <v>132</v>
      </c>
      <c r="B4" s="39" t="s">
        <v>133</v>
      </c>
      <c r="C4" s="43" t="s">
        <v>141</v>
      </c>
      <c r="D4" s="46">
        <v>13000</v>
      </c>
      <c r="F4" s="30" t="s">
        <v>132</v>
      </c>
      <c r="G4" s="30"/>
      <c r="H4" s="31"/>
      <c r="I4" s="31"/>
      <c r="J4" s="31"/>
      <c r="K4" s="31"/>
    </row>
    <row r="5" spans="1:11">
      <c r="A5" s="39" t="s">
        <v>132</v>
      </c>
      <c r="B5" s="39" t="s">
        <v>133</v>
      </c>
      <c r="C5" s="43" t="s">
        <v>138</v>
      </c>
      <c r="D5" s="46">
        <v>46000</v>
      </c>
      <c r="F5" s="30"/>
      <c r="G5" s="30" t="s">
        <v>223</v>
      </c>
      <c r="H5" s="31">
        <v>69520</v>
      </c>
      <c r="I5" s="31" t="s">
        <v>230</v>
      </c>
      <c r="J5" s="31">
        <v>536790</v>
      </c>
      <c r="K5" s="31">
        <v>1751200</v>
      </c>
    </row>
    <row r="6" spans="1:11">
      <c r="A6" s="39" t="s">
        <v>134</v>
      </c>
      <c r="B6" s="39" t="s">
        <v>135</v>
      </c>
      <c r="C6" s="43" t="s">
        <v>141</v>
      </c>
      <c r="D6" s="46">
        <v>3000</v>
      </c>
      <c r="F6" s="30"/>
      <c r="G6" s="30" t="s">
        <v>226</v>
      </c>
      <c r="H6" s="31">
        <v>34760</v>
      </c>
      <c r="I6" s="31" t="s">
        <v>230</v>
      </c>
      <c r="J6" s="31">
        <v>536790</v>
      </c>
      <c r="K6" s="31">
        <v>875600</v>
      </c>
    </row>
    <row r="7" spans="1:11">
      <c r="A7" s="39" t="s">
        <v>132</v>
      </c>
      <c r="B7" s="39" t="s">
        <v>135</v>
      </c>
      <c r="C7" s="43" t="s">
        <v>146</v>
      </c>
      <c r="D7" s="46">
        <v>536790</v>
      </c>
      <c r="F7" s="30" t="s">
        <v>130</v>
      </c>
      <c r="G7" s="30"/>
      <c r="H7" s="31"/>
      <c r="I7" s="31"/>
      <c r="J7" s="31"/>
      <c r="K7" s="31"/>
    </row>
    <row r="8" spans="1:11">
      <c r="A8" s="39" t="s">
        <v>132</v>
      </c>
      <c r="B8" s="39" t="s">
        <v>135</v>
      </c>
      <c r="C8" s="43" t="s">
        <v>142</v>
      </c>
      <c r="D8" s="46">
        <v>1738200</v>
      </c>
      <c r="F8" s="30"/>
      <c r="G8" s="30" t="s">
        <v>223</v>
      </c>
      <c r="H8" s="31">
        <v>701100</v>
      </c>
      <c r="I8" s="31">
        <v>107190</v>
      </c>
      <c r="J8" s="31">
        <v>221140</v>
      </c>
      <c r="K8" s="31">
        <v>360600</v>
      </c>
    </row>
    <row r="9" spans="1:11">
      <c r="A9" s="39" t="s">
        <v>132</v>
      </c>
      <c r="B9" s="39" t="s">
        <v>147</v>
      </c>
      <c r="C9" s="43" t="s">
        <v>139</v>
      </c>
      <c r="D9" s="46">
        <v>23520</v>
      </c>
      <c r="F9" s="30"/>
      <c r="G9" s="30" t="s">
        <v>226</v>
      </c>
      <c r="H9" s="31">
        <v>350550</v>
      </c>
      <c r="I9" s="31">
        <v>107190</v>
      </c>
      <c r="J9" s="31">
        <v>73713.333333333328</v>
      </c>
      <c r="K9" s="31">
        <v>360600</v>
      </c>
    </row>
    <row r="10" spans="1:11">
      <c r="A10" s="40" t="s">
        <v>130</v>
      </c>
      <c r="B10" s="40" t="s">
        <v>131</v>
      </c>
      <c r="C10" s="44" t="s">
        <v>144</v>
      </c>
      <c r="D10" s="45">
        <v>58600</v>
      </c>
      <c r="F10" s="30" t="s">
        <v>134</v>
      </c>
      <c r="G10" s="30"/>
      <c r="H10" s="31"/>
      <c r="I10" s="31"/>
      <c r="J10" s="31"/>
      <c r="K10" s="31"/>
    </row>
    <row r="11" spans="1:11">
      <c r="A11" s="40" t="s">
        <v>130</v>
      </c>
      <c r="B11" s="40" t="s">
        <v>131</v>
      </c>
      <c r="C11" s="44" t="s">
        <v>145</v>
      </c>
      <c r="D11" s="45">
        <v>117840</v>
      </c>
      <c r="F11" s="30"/>
      <c r="G11" s="30" t="s">
        <v>223</v>
      </c>
      <c r="H11" s="31">
        <v>220000</v>
      </c>
      <c r="I11" s="31" t="s">
        <v>230</v>
      </c>
      <c r="J11" s="31" t="s">
        <v>230</v>
      </c>
      <c r="K11" s="31">
        <v>3000</v>
      </c>
    </row>
    <row r="12" spans="1:11">
      <c r="A12" s="40" t="s">
        <v>148</v>
      </c>
      <c r="B12" s="40" t="s">
        <v>147</v>
      </c>
      <c r="C12" s="44" t="s">
        <v>138</v>
      </c>
      <c r="D12" s="45">
        <v>220000</v>
      </c>
      <c r="F12" s="30"/>
      <c r="G12" s="30" t="s">
        <v>226</v>
      </c>
      <c r="H12" s="31">
        <v>220000</v>
      </c>
      <c r="I12" s="31" t="s">
        <v>230</v>
      </c>
      <c r="J12" s="31" t="s">
        <v>230</v>
      </c>
      <c r="K12" s="31">
        <v>3000</v>
      </c>
    </row>
    <row r="13" spans="1:11">
      <c r="A13" s="40" t="s">
        <v>130</v>
      </c>
      <c r="B13" s="40" t="s">
        <v>131</v>
      </c>
      <c r="C13" s="44" t="s">
        <v>145</v>
      </c>
      <c r="D13" s="45">
        <v>44700</v>
      </c>
      <c r="F13" s="30" t="s">
        <v>224</v>
      </c>
      <c r="G13" s="30"/>
      <c r="H13" s="31">
        <v>990620</v>
      </c>
      <c r="I13" s="31">
        <v>107190</v>
      </c>
      <c r="J13" s="31">
        <v>757930</v>
      </c>
      <c r="K13" s="31">
        <v>2114800</v>
      </c>
    </row>
    <row r="14" spans="1:11">
      <c r="A14" s="40" t="s">
        <v>130</v>
      </c>
      <c r="B14" s="40" t="s">
        <v>131</v>
      </c>
      <c r="C14" s="44" t="s">
        <v>140</v>
      </c>
      <c r="D14" s="45">
        <v>88400</v>
      </c>
      <c r="F14" s="30" t="s">
        <v>225</v>
      </c>
      <c r="G14" s="30"/>
      <c r="H14" s="31">
        <v>198124</v>
      </c>
      <c r="I14" s="31">
        <v>107190</v>
      </c>
      <c r="J14" s="31">
        <v>189482.5</v>
      </c>
      <c r="K14" s="31">
        <v>528700</v>
      </c>
    </row>
    <row r="15" spans="1:11">
      <c r="A15" s="40" t="s">
        <v>130</v>
      </c>
      <c r="B15" s="40" t="s">
        <v>131</v>
      </c>
      <c r="C15" s="44" t="s">
        <v>136</v>
      </c>
      <c r="D15" s="45">
        <v>107190</v>
      </c>
    </row>
    <row r="16" spans="1:11">
      <c r="A16" s="40" t="s">
        <v>130</v>
      </c>
      <c r="B16" s="40" t="s">
        <v>131</v>
      </c>
      <c r="C16" s="44" t="s">
        <v>143</v>
      </c>
      <c r="D16" s="45">
        <v>360600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E14"/>
  <sheetViews>
    <sheetView workbookViewId="0">
      <selection activeCell="B2" sqref="B2:E14"/>
    </sheetView>
  </sheetViews>
  <sheetFormatPr defaultRowHeight="16.5"/>
  <cols>
    <col min="2" max="5" width="13.375" customWidth="1"/>
  </cols>
  <sheetData>
    <row r="1" spans="2:5">
      <c r="B1" t="s">
        <v>159</v>
      </c>
    </row>
    <row r="2" spans="2:5">
      <c r="B2" s="23" t="s">
        <v>175</v>
      </c>
      <c r="C2" s="23" t="s">
        <v>177</v>
      </c>
      <c r="D2" s="23" t="s">
        <v>178</v>
      </c>
      <c r="E2" s="23" t="s">
        <v>176</v>
      </c>
    </row>
    <row r="3" spans="2:5">
      <c r="B3" s="23">
        <v>1</v>
      </c>
      <c r="C3" s="23" t="s">
        <v>179</v>
      </c>
      <c r="D3" s="23" t="s">
        <v>153</v>
      </c>
      <c r="E3" s="23" t="s">
        <v>149</v>
      </c>
    </row>
    <row r="4" spans="2:5">
      <c r="B4" s="23">
        <v>2</v>
      </c>
      <c r="C4" s="23" t="s">
        <v>179</v>
      </c>
      <c r="D4" s="23" t="s">
        <v>154</v>
      </c>
      <c r="E4" s="23" t="s">
        <v>102</v>
      </c>
    </row>
    <row r="5" spans="2:5">
      <c r="B5" s="23">
        <v>3</v>
      </c>
      <c r="C5" s="23" t="s">
        <v>180</v>
      </c>
      <c r="D5" s="23" t="s">
        <v>181</v>
      </c>
      <c r="E5" s="23" t="s">
        <v>150</v>
      </c>
    </row>
    <row r="6" spans="2:5">
      <c r="B6" s="23">
        <v>4</v>
      </c>
      <c r="C6" s="23" t="s">
        <v>152</v>
      </c>
      <c r="D6" s="23" t="s">
        <v>156</v>
      </c>
      <c r="E6" s="23" t="s">
        <v>182</v>
      </c>
    </row>
    <row r="7" spans="2:5">
      <c r="B7" s="23">
        <v>5</v>
      </c>
      <c r="C7" s="23" t="s">
        <v>179</v>
      </c>
      <c r="D7" s="23" t="s">
        <v>158</v>
      </c>
      <c r="E7" s="23" t="s">
        <v>183</v>
      </c>
    </row>
    <row r="8" spans="2:5">
      <c r="B8" s="23">
        <v>6</v>
      </c>
      <c r="C8" s="23" t="s">
        <v>180</v>
      </c>
      <c r="D8" s="23" t="s">
        <v>155</v>
      </c>
      <c r="E8" s="23" t="s">
        <v>151</v>
      </c>
    </row>
    <row r="9" spans="2:5">
      <c r="B9" s="23">
        <v>7</v>
      </c>
      <c r="C9" s="23" t="s">
        <v>185</v>
      </c>
      <c r="D9" s="23" t="s">
        <v>157</v>
      </c>
      <c r="E9" s="23" t="s">
        <v>184</v>
      </c>
    </row>
    <row r="10" spans="2:5">
      <c r="B10" s="23">
        <v>8</v>
      </c>
      <c r="C10" s="23" t="s">
        <v>180</v>
      </c>
      <c r="D10" s="23" t="s">
        <v>187</v>
      </c>
      <c r="E10" s="23" t="s">
        <v>186</v>
      </c>
    </row>
    <row r="11" spans="2:5">
      <c r="B11" s="23">
        <v>9</v>
      </c>
      <c r="C11" s="23" t="s">
        <v>180</v>
      </c>
      <c r="D11" s="23" t="s">
        <v>189</v>
      </c>
      <c r="E11" s="23" t="s">
        <v>188</v>
      </c>
    </row>
    <row r="12" spans="2:5">
      <c r="B12" s="23">
        <v>10</v>
      </c>
      <c r="C12" s="23" t="s">
        <v>185</v>
      </c>
      <c r="D12" s="23" t="s">
        <v>191</v>
      </c>
      <c r="E12" s="23" t="s">
        <v>190</v>
      </c>
    </row>
    <row r="13" spans="2:5">
      <c r="B13" s="23">
        <v>11</v>
      </c>
      <c r="C13" s="23" t="s">
        <v>180</v>
      </c>
      <c r="D13" s="23" t="s">
        <v>193</v>
      </c>
      <c r="E13" s="23" t="s">
        <v>192</v>
      </c>
    </row>
    <row r="14" spans="2:5">
      <c r="B14" s="23">
        <v>12</v>
      </c>
      <c r="C14" s="23" t="s">
        <v>180</v>
      </c>
      <c r="D14" s="23" t="s">
        <v>181</v>
      </c>
      <c r="E14" s="23" t="s">
        <v>194</v>
      </c>
    </row>
  </sheetData>
  <sortState xmlns:xlrd2="http://schemas.microsoft.com/office/spreadsheetml/2017/richdata2" columnSort="1" ref="B2:E14">
    <sortCondition ref="B2:E2" customList="순번,성별,주소,이름"/>
  </sortState>
  <dataConsolidate topLabels="1">
    <dataRefs count="3">
      <dataRef ref="A4:D8" sheet="분석작업-2"/>
      <dataRef ref="A11:D15" sheet="분석작업-2"/>
      <dataRef ref="A18:D22" sheet="분석작업-2"/>
    </dataRefs>
  </dataConsolidate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E17"/>
  <sheetViews>
    <sheetView tabSelected="1" workbookViewId="0">
      <selection activeCell="E4" sqref="E4"/>
    </sheetView>
  </sheetViews>
  <sheetFormatPr defaultRowHeight="16.5"/>
  <cols>
    <col min="2" max="2" width="15.25" customWidth="1"/>
    <col min="3" max="3" width="11.5" customWidth="1"/>
    <col min="4" max="4" width="9.625" customWidth="1"/>
    <col min="5" max="5" width="12.875" customWidth="1"/>
  </cols>
  <sheetData>
    <row r="2" spans="2:5">
      <c r="D2" s="12" t="s">
        <v>162</v>
      </c>
      <c r="E2" s="48">
        <v>1198.8800000000001</v>
      </c>
    </row>
    <row r="3" spans="2:5">
      <c r="B3" s="23" t="s">
        <v>160</v>
      </c>
      <c r="C3" s="23" t="s">
        <v>161</v>
      </c>
      <c r="D3" s="23" t="s">
        <v>172</v>
      </c>
      <c r="E3" s="23" t="s">
        <v>163</v>
      </c>
    </row>
    <row r="4" spans="2:5">
      <c r="B4" s="23" t="s">
        <v>164</v>
      </c>
      <c r="C4" s="23">
        <v>12</v>
      </c>
      <c r="D4" s="12">
        <v>1</v>
      </c>
      <c r="E4" s="12"/>
    </row>
    <row r="5" spans="2:5">
      <c r="B5" s="23" t="s">
        <v>165</v>
      </c>
      <c r="C5" s="23">
        <v>20</v>
      </c>
      <c r="D5" s="12">
        <v>1.5</v>
      </c>
      <c r="E5" s="12"/>
    </row>
    <row r="6" spans="2:5">
      <c r="B6" s="23" t="s">
        <v>166</v>
      </c>
      <c r="C6" s="23">
        <v>23</v>
      </c>
      <c r="D6" s="12">
        <v>1.3</v>
      </c>
      <c r="E6" s="12"/>
    </row>
    <row r="7" spans="2:5">
      <c r="B7" s="23" t="s">
        <v>167</v>
      </c>
      <c r="C7" s="23">
        <v>9</v>
      </c>
      <c r="D7" s="12">
        <v>2.5</v>
      </c>
      <c r="E7" s="12"/>
    </row>
    <row r="8" spans="2:5">
      <c r="B8" s="23" t="s">
        <v>168</v>
      </c>
      <c r="C8" s="23">
        <v>8</v>
      </c>
      <c r="D8" s="12">
        <v>1.7</v>
      </c>
      <c r="E8" s="12"/>
    </row>
    <row r="9" spans="2:5">
      <c r="B9" s="23" t="s">
        <v>169</v>
      </c>
      <c r="C9" s="23">
        <v>31</v>
      </c>
      <c r="D9" s="12">
        <v>1.2</v>
      </c>
      <c r="E9" s="12"/>
    </row>
    <row r="10" spans="2:5">
      <c r="B10" s="23" t="s">
        <v>170</v>
      </c>
      <c r="C10" s="23">
        <v>25</v>
      </c>
      <c r="D10" s="12">
        <v>0.7</v>
      </c>
      <c r="E10" s="12"/>
    </row>
    <row r="11" spans="2:5">
      <c r="B11" s="23" t="s">
        <v>171</v>
      </c>
      <c r="C11" s="23">
        <v>219</v>
      </c>
      <c r="D11" s="12">
        <v>0.5</v>
      </c>
      <c r="E11" s="12"/>
    </row>
    <row r="17" spans="2:3">
      <c r="B17" s="30"/>
      <c r="C17" s="30"/>
    </row>
  </sheetData>
  <sortState xmlns:xlrd2="http://schemas.microsoft.com/office/spreadsheetml/2017/richdata2" columnSort="1" ref="I3:L15">
    <sortCondition ref="I3:L3" customList="순번,성별,주소,이름"/>
  </sortState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13"/>
  <sheetViews>
    <sheetView zoomScaleNormal="100" workbookViewId="0">
      <selection activeCell="F4" sqref="F4"/>
    </sheetView>
  </sheetViews>
  <sheetFormatPr defaultRowHeight="16.5"/>
  <cols>
    <col min="1" max="5" width="14.625" customWidth="1"/>
    <col min="8" max="11" width="10.5" bestFit="1" customWidth="1"/>
  </cols>
  <sheetData>
    <row r="1" spans="1:11" ht="26.25">
      <c r="A1" s="28" t="s">
        <v>27</v>
      </c>
      <c r="B1" s="28"/>
      <c r="C1" s="28"/>
      <c r="D1" s="28"/>
      <c r="E1" s="28"/>
    </row>
    <row r="2" spans="1:11">
      <c r="A2" s="1"/>
      <c r="B2" s="1"/>
      <c r="C2" s="1"/>
      <c r="D2" s="8"/>
    </row>
    <row r="3" spans="1:11">
      <c r="A3" s="26" t="s">
        <v>0</v>
      </c>
      <c r="B3" s="26" t="s">
        <v>36</v>
      </c>
      <c r="C3" s="26" t="s">
        <v>37</v>
      </c>
      <c r="D3" s="26" t="s">
        <v>38</v>
      </c>
      <c r="E3" s="26" t="s">
        <v>39</v>
      </c>
    </row>
    <row r="4" spans="1:11">
      <c r="A4" s="9" t="s">
        <v>28</v>
      </c>
      <c r="B4" s="18">
        <v>42437</v>
      </c>
      <c r="C4" s="18">
        <v>43632</v>
      </c>
      <c r="D4" s="19">
        <v>47664</v>
      </c>
      <c r="E4" s="19">
        <v>47254</v>
      </c>
    </row>
    <row r="5" spans="1:11">
      <c r="A5" s="9" t="s">
        <v>29</v>
      </c>
      <c r="B5" s="18">
        <v>11666</v>
      </c>
      <c r="C5" s="18">
        <v>12769</v>
      </c>
      <c r="D5" s="19">
        <v>13182</v>
      </c>
      <c r="E5" s="19">
        <v>14568</v>
      </c>
    </row>
    <row r="6" spans="1:11">
      <c r="A6" s="9" t="s">
        <v>30</v>
      </c>
      <c r="B6" s="19">
        <v>27345</v>
      </c>
      <c r="C6" s="18">
        <v>27973</v>
      </c>
      <c r="D6" s="19">
        <v>31570</v>
      </c>
      <c r="E6" s="19">
        <v>33280</v>
      </c>
    </row>
    <row r="7" spans="1:11">
      <c r="A7" s="9" t="s">
        <v>8</v>
      </c>
      <c r="B7" s="19">
        <v>81448</v>
      </c>
      <c r="C7" s="19">
        <v>84374</v>
      </c>
      <c r="D7" s="19">
        <v>92353</v>
      </c>
      <c r="E7" s="19">
        <v>95102</v>
      </c>
    </row>
    <row r="12" spans="1:11">
      <c r="I12" s="15"/>
      <c r="J12" s="14"/>
      <c r="K12" s="14"/>
    </row>
    <row r="13" spans="1:11">
      <c r="I13" s="15"/>
      <c r="J13" s="14"/>
      <c r="K13" s="14"/>
    </row>
  </sheetData>
  <sortState xmlns:xlrd2="http://schemas.microsoft.com/office/spreadsheetml/2017/richdata2" ref="A4:D13">
    <sortCondition ref="A3"/>
  </sortState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7B68F0FE-D8FA-459C-A4AA-ADFB6556C839}">
  <ds:schemaRefs/>
</ds:datastoreItem>
</file>

<file path=customXml/itemProps2.xml><?xml version="1.0" encoding="utf-8"?>
<ds:datastoreItem xmlns:ds="http://schemas.openxmlformats.org/officeDocument/2006/customXml" ds:itemID="{5B9B0358-F7A3-4E7A-B3B0-3300563606B4}">
  <ds:schemaRefs/>
</ds:datastoreItem>
</file>

<file path=customXml/itemProps3.xml><?xml version="1.0" encoding="utf-8"?>
<ds:datastoreItem xmlns:ds="http://schemas.openxmlformats.org/officeDocument/2006/customXml" ds:itemID="{DB10DEF4-204E-4063-BF50-906FE61E8018}">
  <ds:schemaRefs/>
</ds:datastoreItem>
</file>

<file path=customXml/itemProps4.xml><?xml version="1.0" encoding="utf-8"?>
<ds:datastoreItem xmlns:ds="http://schemas.openxmlformats.org/officeDocument/2006/customXml" ds:itemID="{D88B2298-8CC8-41CD-8ED5-92AFB41BC432}">
  <ds:schemaRefs/>
</ds:datastoreItem>
</file>

<file path=customXml/itemProps5.xml><?xml version="1.0" encoding="utf-8"?>
<ds:datastoreItem xmlns:ds="http://schemas.openxmlformats.org/officeDocument/2006/customXml" ds:itemID="{12ED3554-20A3-4CDB-ABE2-E5D57496D7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권영빈</cp:lastModifiedBy>
  <cp:lastPrinted>2020-06-27T09:24:11Z</cp:lastPrinted>
  <dcterms:created xsi:type="dcterms:W3CDTF">2011-08-10T07:46:52Z</dcterms:created>
  <dcterms:modified xsi:type="dcterms:W3CDTF">2023-01-09T12:25:36Z</dcterms:modified>
</cp:coreProperties>
</file>